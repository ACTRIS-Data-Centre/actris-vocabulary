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nilu365.sharepoint.com/sites/Project-ACTRIS/Shared Documents/WP2 - In-Situ/vocabulary/"/>
    </mc:Choice>
  </mc:AlternateContent>
  <xr:revisionPtr revIDLastSave="1" documentId="8_{F560E02F-C79E-4580-AD8B-7309379EF73D}" xr6:coauthVersionLast="47" xr6:coauthVersionMax="47" xr10:uidLastSave="{C3A296F2-7636-4B95-81FF-9776BBB72405}"/>
  <bookViews>
    <workbookView xWindow="3510" yWindow="3510" windowWidth="46605" windowHeight="18075" tabRatio="500" xr2:uid="{00000000-000D-0000-FFFF-FFFF00000000}"/>
  </bookViews>
  <sheets>
    <sheet name="controlled-terminolog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74" i="1" l="1"/>
  <c r="A75" i="1"/>
  <c r="A76" i="1"/>
  <c r="A77" i="1"/>
  <c r="A243" i="1"/>
  <c r="A242" i="1"/>
  <c r="A241" i="1"/>
  <c r="A239" i="1"/>
  <c r="A238" i="1"/>
  <c r="A237" i="1"/>
  <c r="A236" i="1"/>
  <c r="A235" i="1"/>
  <c r="A234" i="1"/>
  <c r="A233" i="1"/>
  <c r="A232" i="1"/>
  <c r="A231" i="1"/>
  <c r="A230" i="1"/>
  <c r="A229" i="1"/>
  <c r="A228" i="1"/>
  <c r="A227" i="1"/>
  <c r="A226" i="1"/>
  <c r="A225" i="1"/>
  <c r="A224" i="1"/>
  <c r="A223" i="1"/>
  <c r="A199" i="1"/>
  <c r="A204" i="1"/>
  <c r="A203" i="1"/>
  <c r="A202" i="1"/>
  <c r="A201" i="1"/>
  <c r="A200" i="1"/>
  <c r="A198" i="1"/>
  <c r="A197" i="1"/>
  <c r="A196" i="1"/>
  <c r="A195" i="1"/>
  <c r="A194" i="1"/>
  <c r="A221" i="1"/>
  <c r="A219" i="1"/>
  <c r="A218" i="1"/>
  <c r="A217" i="1"/>
  <c r="A215" i="1"/>
  <c r="A214" i="1"/>
  <c r="A213" i="1"/>
  <c r="A212" i="1"/>
  <c r="A211" i="1"/>
  <c r="A210" i="1"/>
  <c r="A209" i="1"/>
  <c r="A208" i="1"/>
  <c r="A207" i="1"/>
  <c r="A220" i="1"/>
  <c r="A216" i="1"/>
  <c r="A183" i="1"/>
  <c r="A173" i="1"/>
  <c r="A187" i="1"/>
  <c r="A186" i="1"/>
  <c r="A185" i="1"/>
  <c r="A184" i="1"/>
  <c r="A182" i="1"/>
  <c r="A181" i="1"/>
  <c r="A180" i="1"/>
  <c r="A179" i="1"/>
  <c r="A178" i="1"/>
  <c r="A177" i="1"/>
  <c r="A176" i="1"/>
  <c r="A175" i="1"/>
  <c r="A174" i="1"/>
  <c r="A172" i="1"/>
  <c r="A171" i="1"/>
  <c r="A170" i="1"/>
  <c r="A169" i="1"/>
  <c r="A168" i="1"/>
  <c r="A167" i="1"/>
  <c r="A166" i="1"/>
  <c r="A165" i="1"/>
  <c r="A164" i="1"/>
  <c r="A163" i="1"/>
  <c r="A162" i="1"/>
  <c r="A89" i="1"/>
  <c r="A123" i="1"/>
  <c r="A129" i="1"/>
  <c r="A114" i="1"/>
  <c r="A126" i="1"/>
  <c r="A122" i="1"/>
  <c r="A131" i="1"/>
  <c r="A120" i="1"/>
  <c r="A115" i="1"/>
  <c r="A121" i="1"/>
  <c r="A119" i="1"/>
  <c r="A118" i="1"/>
  <c r="A138" i="1"/>
  <c r="A137" i="1"/>
  <c r="A136" i="1"/>
  <c r="A135" i="1"/>
  <c r="A116" i="1"/>
  <c r="A128" i="1"/>
  <c r="A125" i="1"/>
  <c r="A127" i="1"/>
  <c r="A134" i="1"/>
  <c r="A133" i="1"/>
  <c r="A132" i="1"/>
  <c r="A130" i="1"/>
  <c r="A117" i="1"/>
  <c r="A124" i="1"/>
  <c r="A113" i="1"/>
  <c r="A112" i="1"/>
  <c r="A160" i="1"/>
  <c r="A159" i="1"/>
  <c r="A158" i="1"/>
  <c r="A148" i="1"/>
  <c r="A155" i="1"/>
  <c r="A154" i="1"/>
  <c r="A153" i="1"/>
  <c r="A152" i="1"/>
  <c r="A151" i="1"/>
  <c r="A150" i="1"/>
  <c r="A149" i="1"/>
  <c r="A147" i="1"/>
  <c r="A146" i="1"/>
  <c r="A145" i="1"/>
  <c r="A144" i="1"/>
  <c r="A143" i="1"/>
  <c r="A142" i="1"/>
  <c r="A248" i="1"/>
  <c r="A247" i="1"/>
  <c r="A245" i="1"/>
  <c r="A244" i="1"/>
  <c r="A206" i="1"/>
  <c r="A205" i="1"/>
  <c r="A193" i="1"/>
  <c r="A192" i="1"/>
  <c r="A189" i="1"/>
  <c r="A188" i="1"/>
  <c r="A157" i="1"/>
  <c r="A156" i="1"/>
  <c r="A255" i="1"/>
  <c r="A254" i="1"/>
  <c r="A253" i="1"/>
  <c r="A252" i="1"/>
  <c r="A251" i="1"/>
  <c r="A250" i="1"/>
  <c r="A249" i="1"/>
  <c r="A70" i="1"/>
  <c r="A82" i="1"/>
  <c r="A81" i="1"/>
  <c r="A80" i="1"/>
  <c r="A79" i="1"/>
  <c r="A78" i="1"/>
  <c r="A65" i="1"/>
  <c r="A64" i="1"/>
  <c r="A63" i="1"/>
  <c r="A110" i="1"/>
  <c r="A109" i="1"/>
  <c r="A69" i="1"/>
  <c r="A68" i="1"/>
  <c r="A67" i="1"/>
  <c r="A66" i="1"/>
  <c r="A73" i="1"/>
  <c r="A72" i="1"/>
  <c r="A84" i="1"/>
  <c r="A85" i="1"/>
  <c r="A86" i="1"/>
  <c r="A87" i="1"/>
  <c r="A141" i="1"/>
  <c r="A140" i="1"/>
  <c r="A139" i="1"/>
  <c r="A107" i="1"/>
  <c r="A106" i="1"/>
  <c r="A105" i="1"/>
  <c r="A104" i="1"/>
  <c r="A103" i="1"/>
  <c r="A102" i="1"/>
  <c r="A101" i="1"/>
  <c r="A100" i="1"/>
  <c r="A99" i="1"/>
  <c r="A98" i="1"/>
  <c r="A97" i="1"/>
  <c r="A96" i="1"/>
  <c r="A95" i="1"/>
  <c r="A94" i="1"/>
  <c r="A93" i="1"/>
  <c r="A92" i="1"/>
  <c r="A91" i="1"/>
  <c r="A90" i="1"/>
  <c r="A88" i="1"/>
  <c r="A71"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19" i="1"/>
  <c r="A18" i="1"/>
  <c r="A17" i="1"/>
  <c r="A16" i="1"/>
</calcChain>
</file>

<file path=xl/sharedStrings.xml><?xml version="1.0" encoding="utf-8"?>
<sst xmlns="http://schemas.openxmlformats.org/spreadsheetml/2006/main" count="901" uniqueCount="380">
  <si>
    <t xml:space="preserve">ConceptScheme URI </t>
  </si>
  <si>
    <t>PREFIX</t>
  </si>
  <si>
    <t>ACTRIS_ctrl_lists</t>
  </si>
  <si>
    <t>dct</t>
  </si>
  <si>
    <t>http://purl.org/dc/terms/</t>
  </si>
  <si>
    <t>iop</t>
  </si>
  <si>
    <t xml:space="preserve">https://w3id.org/iadopt/ont/ </t>
  </si>
  <si>
    <t>pav</t>
  </si>
  <si>
    <t>http://purl.org/pav/</t>
  </si>
  <si>
    <t>skos:prefLabel</t>
  </si>
  <si>
    <t>ACTRIS Controlled Lists</t>
  </si>
  <si>
    <t>dct:title</t>
  </si>
  <si>
    <t>dct:description</t>
  </si>
  <si>
    <t>Lists of controlled terms used in ACTRIS</t>
  </si>
  <si>
    <t>dct:creator</t>
  </si>
  <si>
    <t>https://orcid.org/0000-0002-3380-3470/</t>
  </si>
  <si>
    <t>dct:contributor</t>
  </si>
  <si>
    <t>https://orcid.org/0000-0001-9250-9813/</t>
  </si>
  <si>
    <t>dc:license</t>
  </si>
  <si>
    <t>https://creativecommons.org/publicdomain/zero/1.0/</t>
  </si>
  <si>
    <t>pav:createdOn</t>
  </si>
  <si>
    <t>2022-12-16T16:40:00+01:00</t>
  </si>
  <si>
    <t>pav:lastUpdatedOn</t>
  </si>
  <si>
    <t>pav:version</t>
  </si>
  <si>
    <t>Identifier</t>
  </si>
  <si>
    <t>skos:prefLabel@en</t>
  </si>
  <si>
    <t>skos:altLabel(separator=";")</t>
  </si>
  <si>
    <t>skos:definition@en</t>
  </si>
  <si>
    <t>skos:broader(separator=",")</t>
  </si>
  <si>
    <t>skos:exactMatch(separator=",")</t>
  </si>
  <si>
    <t>skos:relatedMatch(separator=”,”)</t>
  </si>
  <si>
    <t>skos:related(separator=",")</t>
  </si>
  <si>
    <t>iop:hasProperty</t>
  </si>
  <si>
    <t>iop:hasObjectOfInterest</t>
  </si>
  <si>
    <t>iop:hasMatrix</t>
  </si>
  <si>
    <t>iop:hasContextObject(separator=",")</t>
  </si>
  <si>
    <t>iop:hasConstraint(separator=",")</t>
  </si>
  <si>
    <t>dct:creator(separator=",")</t>
  </si>
  <si>
    <t>dct:contributor(separator=",")</t>
  </si>
  <si>
    <t>skos:editorialNote@en</t>
  </si>
  <si>
    <t>level</t>
  </si>
  <si>
    <t>hierarchyLevel</t>
  </si>
  <si>
    <t>Taken from ISO19115, and used to conform with WIS metadata standard and profile. ISO 19115 defines a det of hierarchy levels of metadata, where most metadata are defined on higher levels, and only modifications are done at lower levels. Definitions for individual level concepts can’t be given since the definitions in ISO 19115 don’t give useful additional information.</t>
  </si>
  <si>
    <t>https://orcid.org/0000-0002-3380-3470</t>
  </si>
  <si>
    <t>https://orcid.org/0000-0001-9250-9813</t>
  </si>
  <si>
    <t>aggregate</t>
  </si>
  <si>
    <t>ACTRIS_ctrl_lists:level</t>
  </si>
  <si>
    <t>application</t>
  </si>
  <si>
    <t>attribute</t>
  </si>
  <si>
    <t>attributeType</t>
  </si>
  <si>
    <t>collection</t>
  </si>
  <si>
    <t>collectionHardware</t>
  </si>
  <si>
    <t>collectionSession</t>
  </si>
  <si>
    <t>coverage</t>
  </si>
  <si>
    <t>dataset</t>
  </si>
  <si>
    <t>dimensionGroup</t>
  </si>
  <si>
    <t>document</t>
  </si>
  <si>
    <t>feature</t>
  </si>
  <si>
    <t>featureType</t>
  </si>
  <si>
    <t>fieldSession</t>
  </si>
  <si>
    <t>initiative</t>
  </si>
  <si>
    <t>metadata</t>
  </si>
  <si>
    <t>model</t>
  </si>
  <si>
    <t>nonGeographicDataset</t>
  </si>
  <si>
    <t>product</t>
  </si>
  <si>
    <t>propertyType</t>
  </si>
  <si>
    <t>repository</t>
  </si>
  <si>
    <t>sample</t>
  </si>
  <si>
    <t>series</t>
  </si>
  <si>
    <t>service</t>
  </si>
  <si>
    <t>software</t>
  </si>
  <si>
    <t>tile</t>
  </si>
  <si>
    <t>user roles</t>
  </si>
  <si>
    <t>UserRoles</t>
  </si>
  <si>
    <t>Function performed by the responsible party.</t>
  </si>
  <si>
    <t>author</t>
  </si>
  <si>
    <t xml:space="preserve">The individual or organization whose name should appear first in the citation for the resource (for names that come after the first use co-author). While it is possible to have an author and principle investigator be the same individual or organization, author is not the same as nor synonymous with principle investigator. Applicable mainly to documents, reports, memos, etc. </t>
  </si>
  <si>
    <t>ACTRIS_ctrl_lists:userroles</t>
  </si>
  <si>
    <t>custodian</t>
  </si>
  <si>
    <t xml:space="preserve">The individual or organization that has accountability and responsibility for the data and ensures appropriate care and maintenance of the resource. </t>
  </si>
  <si>
    <t>distributor</t>
  </si>
  <si>
    <t xml:space="preserve">The organization that is responsible for providing the PARR required access to the data. </t>
  </si>
  <si>
    <t>originator</t>
  </si>
  <si>
    <t xml:space="preserve">The name of the individual or organization who is responsible for the data at the point when the data was first created. Applicable for data sets that are an aggregation of two or more data sets or if the data set is the first instance of the signal having been converted into data. </t>
  </si>
  <si>
    <t>owner</t>
  </si>
  <si>
    <t xml:space="preserve">The individual or organization that has ownership of the resource. </t>
  </si>
  <si>
    <t>pointOfContact</t>
  </si>
  <si>
    <t xml:space="preserve">The individual or organization who is responsible for the initial triage of and answering questions related to the resource. </t>
  </si>
  <si>
    <t>principalInvestigator</t>
  </si>
  <si>
    <t xml:space="preserve">The individual or individuals who are the lead researchers for a grant (i.e. head of the laboratory, research group leader, etc.). If there are co-principal investigators then this field will repeat for each principle investigator. While it is possible to have a principal investigator and author be the same individual or organization, principal investigator is not the same nor synonymous with author. </t>
  </si>
  <si>
    <t>processor</t>
  </si>
  <si>
    <t xml:space="preserve">The name of the individual or organization who has processed the data in a manner such that the resource has been modified. </t>
  </si>
  <si>
    <t>publisher</t>
  </si>
  <si>
    <t xml:space="preserve">The individual or organization who prepares and issues the resource. </t>
  </si>
  <si>
    <t>resourceProvider</t>
  </si>
  <si>
    <t xml:space="preserve">The individual or organization that supplies or allocates the resource for another entity. </t>
  </si>
  <si>
    <t>user</t>
  </si>
  <si>
    <t xml:space="preserve">The individuals or organizations who are the intended consumers of the resource. </t>
  </si>
  <si>
    <t>identifier type</t>
  </si>
  <si>
    <t>IdentifierTypes</t>
  </si>
  <si>
    <t>Types of persistent identifiers used in ACTRIS.</t>
  </si>
  <si>
    <t>DOI</t>
  </si>
  <si>
    <t>Digital Object Identifier</t>
  </si>
  <si>
    <t>ACTRIS_ctrl_lists:identifiertype</t>
  </si>
  <si>
    <t>https://www.doi.org/</t>
  </si>
  <si>
    <t>handle</t>
  </si>
  <si>
    <t>https://www.handle.net/</t>
  </si>
  <si>
    <t>ePIC</t>
  </si>
  <si>
    <t>https://www.pidconsortium.net/</t>
  </si>
  <si>
    <t>framework</t>
  </si>
  <si>
    <t>network</t>
  </si>
  <si>
    <t>Association of entities to which the data are associated to. May be a project, a reasearch infrastructure, a network, or similar.</t>
  </si>
  <si>
    <t>ACTRIS</t>
  </si>
  <si>
    <t>ACTRIS_ctrl_lists:framework</t>
  </si>
  <si>
    <t>AMAP</t>
  </si>
  <si>
    <t>ARM</t>
  </si>
  <si>
    <t>CAMP</t>
  </si>
  <si>
    <t>CLOUDNET</t>
  </si>
  <si>
    <t>CREATE</t>
  </si>
  <si>
    <t>EARLINET</t>
  </si>
  <si>
    <t>EMEP</t>
  </si>
  <si>
    <t>EUROCHAMP</t>
  </si>
  <si>
    <t>EUSAAR</t>
  </si>
  <si>
    <t>GAW-WDCA</t>
  </si>
  <si>
    <t>GAW-WDCRG</t>
  </si>
  <si>
    <t>GUAN</t>
  </si>
  <si>
    <t>HELCOM</t>
  </si>
  <si>
    <t>NDACC</t>
  </si>
  <si>
    <t>NILU</t>
  </si>
  <si>
    <t>NOAA-ESRL</t>
  </si>
  <si>
    <t>GALION</t>
  </si>
  <si>
    <t>AERONET</t>
  </si>
  <si>
    <t>other persistent identifier</t>
  </si>
  <si>
    <t>other PID</t>
  </si>
  <si>
    <t>Any non-standard type of persistent identifier.</t>
  </si>
  <si>
    <t>RI-URBANS</t>
  </si>
  <si>
    <t>ACTRIS_ctrl_lists:DOI</t>
  </si>
  <si>
    <t>submission DOI</t>
  </si>
  <si>
    <t>version DOI</t>
  </si>
  <si>
    <t>concept DOI</t>
  </si>
  <si>
    <t>collection DOI</t>
  </si>
  <si>
    <t>Digital object identifier for a single data delivery from an identified instrument at an identified location. Used to document data production chain (provenance).</t>
  </si>
  <si>
    <t>Digital object identifier pointing towards an assembly of DOI identified objects of any type. Often used to identify collections of data objects analysed for a publication.</t>
  </si>
  <si>
    <t>https://orcid.org/0000-0003-3587-5926</t>
  </si>
  <si>
    <t>Digital object identifier for a consistent set of data submissions from an identified instrument type and model at an identified location. Consistent means connected without known ruptures, e.g. changes in operating procedures. Used to identify exact version of a data stream in an analysis.</t>
  </si>
  <si>
    <t>Glossary</t>
  </si>
  <si>
    <t>ACTRIS data</t>
  </si>
  <si>
    <t>ACTRIS_ctrl_lists:Glossary</t>
  </si>
  <si>
    <t>https://en.wikipedia.org/wiki/Glossary</t>
  </si>
  <si>
    <t>ACTRIS_vocab</t>
  </si>
  <si>
    <t>ACTRIS_vocab:ACTRISlabelled</t>
  </si>
  <si>
    <t>ACTRIS data are data from observational or exploratory National Facilities complying with the procedures established within ACTRIS. ACTRIS data have received the "ACTRIS labelled" designator.</t>
  </si>
  <si>
    <t>Identifiers used in ACTRIS.</t>
  </si>
  <si>
    <t>identifier</t>
  </si>
  <si>
    <t>ACTRIS_ctrl_lists:identifier</t>
  </si>
  <si>
    <t>identifier use</t>
  </si>
  <si>
    <t>Uses of persistent identifiers used in ACTRIS.</t>
  </si>
  <si>
    <t>submission PID</t>
  </si>
  <si>
    <t>version PID</t>
  </si>
  <si>
    <t>concept PID</t>
  </si>
  <si>
    <t>collection PID</t>
  </si>
  <si>
    <t>ACTRIS_ctrl_lists:identifieruse</t>
  </si>
  <si>
    <t>Persistent identifier for a single data delivery from an identified instrument at an identified location. Used to document data production chain (provenance).</t>
  </si>
  <si>
    <t>Persistent identifier for a consistent set of data submissions from an identified instrument type and model at an identified location. Consistent means connected without known ruptures, e.g. changes in operating procedures. Used to identify exact version of a data stream in an analysis.</t>
  </si>
  <si>
    <t>Persistent identifier representing all versions of a record. Here, record means consistent set of data submissions from an identified instrument type and model at an identified location. Used to identify all previous, current, and future versions of the record.</t>
  </si>
  <si>
    <t>Persistent identifier pointing towards an assembly of PID identified objects of any type. Often used to identify collections of data objects analysed for a publication.</t>
  </si>
  <si>
    <t>Digital object identifier representing all versions of a record. Here, record means consistent set of data submissions from an identified instrument type and model at an identified location. Used to identify all previous, current, and future versions of the record.</t>
  </si>
  <si>
    <t>simulation chamber controlled lists</t>
  </si>
  <si>
    <t>aerosol in situ controlled lists</t>
  </si>
  <si>
    <t>cloud in situ controlled lists</t>
  </si>
  <si>
    <t>use metadata</t>
  </si>
  <si>
    <t>ACTRIS_ctrl_lists:usemetadata</t>
  </si>
  <si>
    <t>reactive trace gas in situ controlled lists</t>
  </si>
  <si>
    <t>aerosol remote sensing controlled lists</t>
  </si>
  <si>
    <t>cloud remote sensing controlled lists</t>
  </si>
  <si>
    <t>reactive trace gas remote sensing controlled lists</t>
  </si>
  <si>
    <t>Controlled vocabulary for detailed descriptions of operating procedures.</t>
  </si>
  <si>
    <t>simulation chamber light sources</t>
  </si>
  <si>
    <t>dark chamber</t>
  </si>
  <si>
    <t>fluorescent lamps</t>
  </si>
  <si>
    <t>natural sunlight</t>
  </si>
  <si>
    <t>other artificial light source</t>
  </si>
  <si>
    <t>xenon arc lamps</t>
  </si>
  <si>
    <t>ACTRIS_ctrl_lists:simulationchambercontrolledlists</t>
  </si>
  <si>
    <t>ACTRIS_ctrl_lists:simulationchamberlightsources</t>
  </si>
  <si>
    <t>simulation chamber wall types</t>
  </si>
  <si>
    <t>FEP film</t>
  </si>
  <si>
    <t>Pyrex</t>
  </si>
  <si>
    <t>quartz</t>
  </si>
  <si>
    <t>stainless steel</t>
  </si>
  <si>
    <t>aluminium</t>
  </si>
  <si>
    <t>fluorinated ethylene propylene film</t>
  </si>
  <si>
    <t>ACTRIS_ctrl_lists:simulationchamberwalltypes</t>
  </si>
  <si>
    <t>filter type</t>
  </si>
  <si>
    <t>Magee AE33-FT</t>
  </si>
  <si>
    <t>ACTRIS_ctrl_lists:filtertype</t>
  </si>
  <si>
    <t>ACTRIS_ctrl_lists:aerosolinsitucontrolledlists</t>
  </si>
  <si>
    <t>ACTRIS_ctrl_lists:cloudinsitucontrolledlists</t>
  </si>
  <si>
    <t>ACTRIS_ctrl_lists:reactivetracegasinsitucontrolledlists</t>
  </si>
  <si>
    <t>ACTRIS_ctrl_lists:aerosolremotesensingcontrolledlists</t>
  </si>
  <si>
    <t>ACTRIS_ctrl_lists:cloudremotesensingcontrolledlists</t>
  </si>
  <si>
    <t>ACTRIS_ctrl_lists:reactivetracegasremotesensingcontrolledlists</t>
  </si>
  <si>
    <t>Magee 8050</t>
  </si>
  <si>
    <t>Magee 8060</t>
  </si>
  <si>
    <t>calibration scale</t>
  </si>
  <si>
    <t>NPL</t>
  </si>
  <si>
    <t>Apel-Riemer</t>
  </si>
  <si>
    <t>SIO2005</t>
  </si>
  <si>
    <t>NOAA-2003B</t>
  </si>
  <si>
    <t>SIO2014</t>
  </si>
  <si>
    <t>SIO2007</t>
  </si>
  <si>
    <t>SIO-p</t>
  </si>
  <si>
    <t>UB-p</t>
  </si>
  <si>
    <t>NOAA-2003</t>
  </si>
  <si>
    <t>WMO CO X2004</t>
  </si>
  <si>
    <t>WMO CO X2014</t>
  </si>
  <si>
    <t>WMO CO X2014A</t>
  </si>
  <si>
    <t>WMO CO2 X2007</t>
  </si>
  <si>
    <t>WMO CO2 X2019</t>
  </si>
  <si>
    <t>NOAA-2004</t>
  </si>
  <si>
    <t>NOAA-Jul10-p</t>
  </si>
  <si>
    <t>WMO N2O X2006A</t>
  </si>
  <si>
    <t>MPI-2009</t>
  </si>
  <si>
    <t>NOAA04</t>
  </si>
  <si>
    <t>WMO CH4 X2004</t>
  </si>
  <si>
    <t>NPL+GPT</t>
  </si>
  <si>
    <t>SIO2012</t>
  </si>
  <si>
    <t>Empa-2015-p</t>
  </si>
  <si>
    <t>UB-98</t>
  </si>
  <si>
    <t>SIO1998</t>
  </si>
  <si>
    <t>Reference to an identified, metrological, primary standard.</t>
  </si>
  <si>
    <t>ACTRIS_ctrl_lists:calibrationscale</t>
  </si>
  <si>
    <t>ATMO-ACCESS</t>
  </si>
  <si>
    <t>instrument status check</t>
  </si>
  <si>
    <t>ACTRIS_vocab:instrumentstatuscheck</t>
  </si>
  <si>
    <t>check cleanliness of optics</t>
  </si>
  <si>
    <t>boundary check</t>
  </si>
  <si>
    <t>check sample flow</t>
  </si>
  <si>
    <t>check sheath air flow</t>
  </si>
  <si>
    <t>check data acquisition</t>
  </si>
  <si>
    <t>check operating fluids</t>
  </si>
  <si>
    <t>check filter tape length</t>
  </si>
  <si>
    <t>check transmittance decrease</t>
  </si>
  <si>
    <t>check if the status values are within the pre-determined ranges</t>
  </si>
  <si>
    <t>check if the status value for optics cleanliness is within pre-determined ranges</t>
  </si>
  <si>
    <t>check if the sample flow rate is nominal</t>
  </si>
  <si>
    <t>check if the sheat flow rate is nominal</t>
  </si>
  <si>
    <t>This control performs a check on the proper communication of the instrument with the data acquisition software (if applicable).</t>
  </si>
  <si>
    <t>This control performs a check of the sufficiency of the operating fluid.</t>
  </si>
  <si>
    <t>This control performs a check of the sufficiency of the filter tape.</t>
  </si>
  <si>
    <t>This control performs a check on the gradual decrease of the light transmittance.</t>
  </si>
  <si>
    <t>ACTRIS_ctrl_lists:instrumentstatuscheck</t>
  </si>
  <si>
    <t>instrument performance check</t>
  </si>
  <si>
    <t>check of detection efficiency</t>
  </si>
  <si>
    <t>check of sizing accuracy</t>
  </si>
  <si>
    <t>check of baseline (zero check)</t>
  </si>
  <si>
    <t>check of noise</t>
  </si>
  <si>
    <t>check of offset</t>
  </si>
  <si>
    <t>check of filter spot</t>
  </si>
  <si>
    <t>check of high voltage</t>
  </si>
  <si>
    <t>high span check or span gas check</t>
  </si>
  <si>
    <t>this control performs a check on ability of the instrument to detect signals related to an observation</t>
  </si>
  <si>
    <t>this control performs a check on the ability of the instrument to determine the size of a particle</t>
  </si>
  <si>
    <t>this control performs a check of the presence/absence of leaks or contamination within a system or an instrument</t>
  </si>
  <si>
    <t>this control performs a check of the presence or absence of random fluctuation in the signal that limits our ability to detect the presence of the underlying signal</t>
  </si>
  <si>
    <t>this control performs a check of the presense/absence of a deviation of the measured signal from the reference or known signal.</t>
  </si>
  <si>
    <t>this control performs a visual check on spot on the filter where particles are loaded</t>
  </si>
  <si>
    <t>check if the voltage output is nominal</t>
  </si>
  <si>
    <t>this control performs a check on how well the nephelometer measures a quantity with a known scattering value</t>
  </si>
  <si>
    <t>ACTRIS_ctrl_lists:instrumentperformancecheck</t>
  </si>
  <si>
    <t>ACTRIS_vocab:instrumentperformancecheck</t>
  </si>
  <si>
    <t>instrument calibration</t>
  </si>
  <si>
    <t>ACTRIS_vocab:instrumentcalibration</t>
  </si>
  <si>
    <t>high voltage calibration</t>
  </si>
  <si>
    <t>high span calibration</t>
  </si>
  <si>
    <t>flow calibration</t>
  </si>
  <si>
    <t>This control performs an adjustment of the flow if is out of the nominal range.</t>
  </si>
  <si>
    <t>ACTRIS_ctrl_lists:instrumentcalibration</t>
  </si>
  <si>
    <t>This control performes an adjustment of the voltage output.</t>
  </si>
  <si>
    <t>check diagnostic values</t>
  </si>
  <si>
    <t>combined assessment</t>
  </si>
  <si>
    <t>physical dependence check</t>
  </si>
  <si>
    <t>check on Aerosol Optical Depth</t>
  </si>
  <si>
    <t>check on Integrated Backscatter</t>
  </si>
  <si>
    <t>check on lidar ratio</t>
  </si>
  <si>
    <t>check on particle depolarization</t>
  </si>
  <si>
    <t>check on volume depolarization</t>
  </si>
  <si>
    <t>check on water vapor mixing ratio</t>
  </si>
  <si>
    <t>negative error check</t>
  </si>
  <si>
    <t>negative values check</t>
  </si>
  <si>
    <t>ACTRIS_ctrl_lists:boundarycheck</t>
  </si>
  <si>
    <t>Profile scanning and checking that error on the optical properties is positive for all defined values of the corresponding optical property.</t>
  </si>
  <si>
    <t>This control checks for negative peaks. It performs a profile scanning and checks that the aerosol optical properties are positive within 3σ, that there are not negative peaks and that very extreme values are present only in cirrus cloud cases.</t>
  </si>
  <si>
    <t>The aerosol optical depth AOD (without any assumption in the lowest troposphere, so evaluated only in the portion of atmosphere covered by the provided profile) should remain under an established threshold for data not belonging to the cirrus category.</t>
  </si>
  <si>
    <t>The aerosol integrated backscatter IB (without any assumption in the lowest troposphere, so evaluated only in the portion of atmosphere covered by the provided profile) should remain under an established threshold for data not belonging to the cirrus category.</t>
  </si>
  <si>
    <t>This control performs a check on the Lidar Ratio values when Extinction and Backscatter are provided in the same product file (i.e. are provided at the same vertical resolution). Lidarratio is defined as positive value and values are typically between 10 and 120 sr.</t>
  </si>
  <si>
    <t>This control is performed on the volume depolarization variable and its error (error_volumedepolarization) in order to check that the following conditions are preserved : |volumedepolarization|&lt; 3 error_volumedepolarization volumedepolarization must be between [0, 1] within its error</t>
  </si>
  <si>
    <t>This control is performed on the particle depolarization variable and its error (error_particledepolarization) in order to check that the following conditions are preserved : |particledepolarization|&lt; 3 error_particledepolarization particledepolarization must be between [0, 1] within its error</t>
  </si>
  <si>
    <t>This control is performed on the water vapor mixing ratio variable and its error (error_watervapor) in order to check that the following conditions are preserved : |watervapormixingratio|&lt; 3 error_watervapor watervapormixingratio must be between [0, 100 g/Kg] within its error</t>
  </si>
  <si>
    <t>ACTRIS_vocab:boundarycheck</t>
  </si>
  <si>
    <t>Earlinet legacy data labeled as cirrus contaminated</t>
  </si>
  <si>
    <t>Data products uploaded before the new release of the database (2019-06-24), labeled as cirrus, and not reporting the cloud mask as vertical information are labeled as Level 1. This control is implemented as a message to data users of handling with care such data, because a cirrus cloud is present but the location in the vertical dimension of such cloud is not precisely reported into the data product.</t>
  </si>
  <si>
    <t>check on atmospheric molecular calculation source</t>
  </si>
  <si>
    <t>The use of standard atmosphere profiles is source of potentially high error in the optical property profiles. Therefore data products obtained using such molecular profiles are not considered as not high quality and will be labelled as Level 1 data product. This control is performed on the variable atmospheric_molecular_calculation_source. If its value is 0 (zero) the product is labelled as Level 1.</t>
  </si>
  <si>
    <t>ACTRIS_ctrl_lists:combinedassessment</t>
  </si>
  <si>
    <t>https://orcid.org/0000-0001-8301-1319</t>
  </si>
  <si>
    <t xml:space="preserve">https://orcid.org/0000-0003-4157-0838 </t>
  </si>
  <si>
    <t>consistency of different optical properties</t>
  </si>
  <si>
    <t>Files correspondingly to the same observational scene (same station, same time of measurement within 15 minutes of tolerance), are checked in a combined way.</t>
  </si>
  <si>
    <t>ACTRIS_vocab:physicaldependencecheck</t>
  </si>
  <si>
    <t>ACTRIS_ctrl_lists:physicaldependencecheck</t>
  </si>
  <si>
    <t>ACTRIS_vocab:aerosolinsitu</t>
  </si>
  <si>
    <t>ACTRIS_vocab:AerosolAE33, ACTRIS_vocab:aerosolinsitu</t>
  </si>
  <si>
    <t>ACTRIS_vocab:reactivetracegasesinsitu</t>
  </si>
  <si>
    <t>ACTRIS_vocab:aerosolremotesensing</t>
  </si>
  <si>
    <t>voltage setting check</t>
  </si>
  <si>
    <t>flow setting check</t>
  </si>
  <si>
    <t>pressure setting check</t>
  </si>
  <si>
    <t>instrument interference check</t>
  </si>
  <si>
    <t>Check if the voltage output is nominal.</t>
  </si>
  <si>
    <t>Check if the flow measurement is nominal.</t>
  </si>
  <si>
    <t>Check if the pressure measurement is nominal.</t>
  </si>
  <si>
    <t>Test whether measurement has interferences with other species in sample besides the targeted one, e.g. ozone and water vapour interferences for NOx measurements.</t>
  </si>
  <si>
    <t>https://orcid.org/0000-0003-0648-6622</t>
  </si>
  <si>
    <t>https://orcid.org/0000-0003-0648-6623</t>
  </si>
  <si>
    <t>https://orcid.org/0000-0003-0648-6624</t>
  </si>
  <si>
    <t>https://orcid.org/0000-0003-0648-6625</t>
  </si>
  <si>
    <t>station audit</t>
  </si>
  <si>
    <t>ACTRIS_vocab:stationaudit</t>
  </si>
  <si>
    <t>check if processed according to CiGas-NMHC measurement guideline requirements</t>
  </si>
  <si>
    <t>check if processed according to CiGas-VOC measurement guideline requirements</t>
  </si>
  <si>
    <t>check if processed according to CiGas-NOx measurement guideline requirements</t>
  </si>
  <si>
    <t>check if processed according to CiGas-condensables measurement guideline requirements</t>
  </si>
  <si>
    <t>ACTRIS_ctrl_lists:stationaudit</t>
  </si>
  <si>
    <t>ACTRIS_vocab:combinedassessment</t>
  </si>
  <si>
    <t>battery level check</t>
  </si>
  <si>
    <t>Check if the battery provides a sufficient level of energy for a nominal behavior of the instrument.</t>
  </si>
  <si>
    <t xml:space="preserve">https://orcid.org/0000-0001-5722-3430 </t>
  </si>
  <si>
    <t>tracking system check</t>
  </si>
  <si>
    <t>Check if the reference object (sun, moon...) tracking system is nominal.</t>
  </si>
  <si>
    <t>humidity sensor check</t>
  </si>
  <si>
    <t>Check if the humidity sensor is nominal.</t>
  </si>
  <si>
    <t>temperature sensor check</t>
  </si>
  <si>
    <t>Check if the temperature sensor is nominal.</t>
  </si>
  <si>
    <t>calibration shift check</t>
  </si>
  <si>
    <t>Check if the radiances shift between 2 photometer calibration events is below requirements.</t>
  </si>
  <si>
    <t>optics check</t>
  </si>
  <si>
    <t>Check if the optics is nominal.</t>
  </si>
  <si>
    <t>collimator check</t>
  </si>
  <si>
    <t>Check if the collimator is nominal.</t>
  </si>
  <si>
    <t>system cabling check</t>
  </si>
  <si>
    <t>Check if all the system cabling (communication, controller, electrical...) is nominal.</t>
  </si>
  <si>
    <t>telecover test</t>
  </si>
  <si>
    <t>Deviations of the near range signals from different parts of the telescope and the comparison of such deviations of different lidar channels and with theoretical ray-tracing simulations can reveal the distance of full overlap and possible reasons for the deviations from the ideal case. The test is based on the fact that the backscattered photons collected from the near range by different parts of the telescope of a lidar system must give the same range dependency of the signal, and if not, the range dependency of the whole signal is uncertain.</t>
  </si>
  <si>
    <t>Rayleight fit test</t>
  </si>
  <si>
    <t>This checkup tells us the quality of the signals in the far range. Especially analog signals show distortions there. The Rayleigh-fit is a normalization of the range corrected lidar signal to the calculated attenuated molecular backscatter coefficient (Rayleigh signal) in a range where we assume clean air without aerosols and where the calculated signal fits the lidar signal sufficiently good.</t>
  </si>
  <si>
    <t>full overlap minimum height test</t>
  </si>
  <si>
    <t>This information is obtained from the Telecover Test and represents the minimum height where the overlap between the laser beam and the receiver field of view is full.</t>
  </si>
  <si>
    <t>trigger delay test</t>
  </si>
  <si>
    <t>The trigger-delay tests aims to check the time difference between the actual laser pulse emission and the assumed zero range of the signal recording (zero bin). If this difference is different from zero, this can cause large errors in the near range signal up to about 1 km range and must be measured.</t>
  </si>
  <si>
    <t>dark current test</t>
  </si>
  <si>
    <t>A dark measurement is a normal measurement with sufficient time averaging, but with a fully covered telescope or with covered detectors.This signal shows all electronic stray pick-ups and signal distortions which do not stem from the atmospheric backscatter, but from the lidar system itself: e.g. laser flash-lamp pulse pick-ups, or system trigger pick-ups. All system parameters, like e.g. detector HV, must be set in the same way as for a normal measurement.</t>
  </si>
  <si>
    <t>offset angle check</t>
  </si>
  <si>
    <t>Check the zero angle of the calibrator (for polarization channels)</t>
  </si>
  <si>
    <t>calibration factor check</t>
  </si>
  <si>
    <r>
      <rPr>
        <sz val="12"/>
        <rFont val="Carlito;Calibri"/>
        <family val="2"/>
        <charset val="1"/>
      </rPr>
      <t xml:space="preserve">Check </t>
    </r>
    <r>
      <rPr>
        <sz val="12"/>
        <color rgb="FF000000"/>
        <rFont val="Arial"/>
        <family val="2"/>
      </rPr>
      <t>the calibration factor</t>
    </r>
    <r>
      <rPr>
        <sz val="12"/>
        <rFont val="Carlito;Calibri"/>
        <family val="2"/>
        <charset val="1"/>
      </rPr>
      <t xml:space="preserve"> (for polarization channels)</t>
    </r>
  </si>
  <si>
    <t>GHK coefficients check</t>
  </si>
  <si>
    <t>Check the polarization cross-talk parameters GT,R and HT,R, and the calibration factor correction K (for polarization channels)</t>
  </si>
  <si>
    <t>check if processed by CARS approved lidar configuration</t>
  </si>
  <si>
    <t>Only data products obtained using the approved configuration into the Single Calculus Chain (i.e. Operational product) can be fully quality controlled products. Experimental products are still useful and interesting products btu the data users should be aware that they are not fully quality controlled in the workflow from preforming measurements till the optical data product provision.</t>
  </si>
  <si>
    <t>ROR</t>
  </si>
  <si>
    <t>Research Organization Registry identifier</t>
  </si>
  <si>
    <t>https://ror.org</t>
  </si>
  <si>
    <t>ORCiD</t>
  </si>
  <si>
    <t>https://orcid.org</t>
  </si>
  <si>
    <t>Open Researcher and Contributor ID</t>
  </si>
  <si>
    <t>2026-08-03T16:50:00+02:00</t>
  </si>
  <si>
    <t>1.1.1</t>
  </si>
  <si>
    <t>https://vocabulary.actris.nilu.no/actris_controlled_lists/</t>
  </si>
  <si>
    <t>https://vocabulary.actris.nilu.no/actris_vocab/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</si>
</sst>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1">
    <font>
      <sz val="12"/>
      <color rgb="FF000000"/>
      <name val="Arial"/>
      <charset val="1"/>
    </font>
    <font>
      <sz val="12"/>
      <color rgb="FF000000"/>
      <name val="Arial"/>
      <family val="2"/>
      <charset val="1"/>
    </font>
    <font>
      <b/>
      <sz val="12"/>
      <color rgb="FF000000"/>
      <name val="Arial"/>
      <family val="2"/>
      <charset val="1"/>
    </font>
    <font>
      <u/>
      <sz val="12"/>
      <color rgb="FF0563C1"/>
      <name val="Arial"/>
      <charset val="1"/>
    </font>
    <font>
      <u/>
      <sz val="12"/>
      <color rgb="FF1155CC"/>
      <name val="Arial"/>
      <family val="2"/>
      <charset val="1"/>
    </font>
    <font>
      <b/>
      <sz val="12"/>
      <color rgb="FF000000"/>
      <name val="Arial"/>
      <charset val="1"/>
    </font>
    <font>
      <u/>
      <sz val="12"/>
      <color rgb="FF000000"/>
      <name val="Arial"/>
      <charset val="1"/>
    </font>
    <font>
      <sz val="12"/>
      <color rgb="FF000000"/>
      <name val="Arial"/>
      <family val="2"/>
    </font>
    <font>
      <u/>
      <sz val="12"/>
      <color rgb="FF0563C1"/>
      <name val="Arial"/>
      <family val="2"/>
    </font>
    <font>
      <sz val="8"/>
      <name val="Arial"/>
      <family val="2"/>
    </font>
    <font>
      <sz val="12"/>
      <name val="Carlito;Calibri"/>
      <family val="2"/>
      <charset val="1"/>
    </font>
  </fonts>
  <fills count="13">
    <fill>
      <patternFill patternType="none"/>
    </fill>
    <fill>
      <patternFill patternType="gray125"/>
    </fill>
    <fill>
      <patternFill patternType="solid">
        <fgColor rgb="FFBF926D"/>
        <bgColor rgb="FF8C876C"/>
      </patternFill>
    </fill>
    <fill>
      <patternFill patternType="solid">
        <fgColor rgb="FFFABF8F"/>
        <bgColor rgb="FFC4BD97"/>
      </patternFill>
    </fill>
    <fill>
      <patternFill patternType="solid">
        <fgColor rgb="FFBFBF7D"/>
        <bgColor rgb="FFC4BD97"/>
      </patternFill>
    </fill>
    <fill>
      <patternFill patternType="solid">
        <fgColor rgb="FFFFFFA6"/>
        <bgColor rgb="FFFFFFCC"/>
      </patternFill>
    </fill>
    <fill>
      <patternFill patternType="solid">
        <fgColor rgb="FFAFCBCD"/>
        <bgColor rgb="FFB6DDE8"/>
      </patternFill>
    </fill>
    <fill>
      <patternFill patternType="solid">
        <fgColor rgb="FFB6DDE8"/>
        <bgColor rgb="FFAFCBCD"/>
      </patternFill>
    </fill>
    <fill>
      <patternFill patternType="solid">
        <fgColor rgb="FF8C876C"/>
        <bgColor rgb="FFBF926D"/>
      </patternFill>
    </fill>
    <fill>
      <patternFill patternType="solid">
        <fgColor rgb="FFC4BD97"/>
        <bgColor rgb="FFBFBF7D"/>
      </patternFill>
    </fill>
    <fill>
      <patternFill patternType="solid">
        <fgColor rgb="FF91A82C"/>
        <bgColor rgb="FF8C876C"/>
      </patternFill>
    </fill>
    <fill>
      <patternFill patternType="solid">
        <fgColor rgb="FFD7F841"/>
        <bgColor rgb="FFFFFF00"/>
      </patternFill>
    </fill>
    <fill>
      <patternFill patternType="solid">
        <fgColor rgb="FFB6DDE8"/>
        <bgColor indexed="64"/>
      </patternFill>
    </fill>
  </fills>
  <borders count="3">
    <border>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s>
  <cellStyleXfs count="4">
    <xf numFmtId="0" fontId="0" fillId="0" borderId="0"/>
    <xf numFmtId="0" fontId="3" fillId="0" borderId="0" applyBorder="0" applyProtection="0"/>
    <xf numFmtId="0" fontId="7" fillId="0" borderId="0"/>
    <xf numFmtId="0" fontId="8" fillId="0" borderId="0" applyBorder="0" applyProtection="0"/>
  </cellStyleXfs>
  <cellXfs count="36">
    <xf numFmtId="0" fontId="0" fillId="0" borderId="0" xfId="0"/>
    <xf numFmtId="0" fontId="1" fillId="0" borderId="0" xfId="0" applyFont="1"/>
    <xf numFmtId="0" fontId="2" fillId="0" borderId="0" xfId="0" applyFont="1"/>
    <xf numFmtId="0" fontId="3" fillId="0" borderId="0" xfId="1" applyBorder="1" applyProtection="1"/>
    <xf numFmtId="0" fontId="0" fillId="0" borderId="0" xfId="0" applyAlignment="1">
      <alignment wrapText="1"/>
    </xf>
    <xf numFmtId="0" fontId="4" fillId="0" borderId="0" xfId="0" applyFont="1"/>
    <xf numFmtId="0" fontId="5" fillId="0" borderId="0" xfId="0" applyFont="1" applyAlignment="1">
      <alignment wrapText="1"/>
    </xf>
    <xf numFmtId="164" fontId="1" fillId="0" borderId="0" xfId="0" applyNumberFormat="1" applyFont="1"/>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1" fillId="4" borderId="1" xfId="0" applyFont="1" applyFill="1" applyBorder="1"/>
    <xf numFmtId="0" fontId="1" fillId="5" borderId="1" xfId="0" applyFont="1" applyFill="1" applyBorder="1"/>
    <xf numFmtId="0" fontId="4" fillId="5" borderId="1" xfId="0" applyFont="1" applyFill="1" applyBorder="1"/>
    <xf numFmtId="0" fontId="1" fillId="6" borderId="1" xfId="0" applyFont="1" applyFill="1" applyBorder="1"/>
    <xf numFmtId="0" fontId="1" fillId="7" borderId="2" xfId="0" applyFont="1" applyFill="1" applyBorder="1"/>
    <xf numFmtId="0" fontId="1" fillId="7" borderId="1" xfId="0" applyFont="1" applyFill="1" applyBorder="1" applyAlignment="1">
      <alignment vertical="top"/>
    </xf>
    <xf numFmtId="0" fontId="1" fillId="7" borderId="1" xfId="0" applyFont="1" applyFill="1" applyBorder="1"/>
    <xf numFmtId="0" fontId="3" fillId="7" borderId="1" xfId="1" applyFill="1" applyBorder="1" applyProtection="1"/>
    <xf numFmtId="0" fontId="0" fillId="7" borderId="2" xfId="0" applyFill="1" applyBorder="1"/>
    <xf numFmtId="0" fontId="0" fillId="7" borderId="2" xfId="0" applyFill="1" applyBorder="1" applyAlignment="1">
      <alignment horizontal="right"/>
    </xf>
    <xf numFmtId="0" fontId="6" fillId="7" borderId="2" xfId="0" applyFont="1" applyFill="1" applyBorder="1"/>
    <xf numFmtId="0" fontId="4" fillId="7" borderId="1" xfId="0" applyFont="1" applyFill="1" applyBorder="1" applyAlignment="1">
      <alignment vertical="top"/>
    </xf>
    <xf numFmtId="0" fontId="1" fillId="8" borderId="1" xfId="0" applyFont="1" applyFill="1" applyBorder="1"/>
    <xf numFmtId="0" fontId="1" fillId="9" borderId="1" xfId="0" applyFont="1" applyFill="1" applyBorder="1"/>
    <xf numFmtId="0" fontId="4" fillId="9" borderId="1" xfId="0" applyFont="1" applyFill="1" applyBorder="1"/>
    <xf numFmtId="0" fontId="1" fillId="10" borderId="1" xfId="0" applyFont="1" applyFill="1" applyBorder="1"/>
    <xf numFmtId="0" fontId="1" fillId="11" borderId="1" xfId="0" applyFont="1" applyFill="1" applyBorder="1"/>
    <xf numFmtId="0" fontId="4" fillId="11" borderId="1" xfId="0" applyFont="1" applyFill="1" applyBorder="1"/>
    <xf numFmtId="0" fontId="0" fillId="7" borderId="1" xfId="0" applyFill="1" applyBorder="1"/>
    <xf numFmtId="0" fontId="0" fillId="7" borderId="1" xfId="0" applyFill="1" applyBorder="1" applyAlignment="1">
      <alignment horizontal="right"/>
    </xf>
    <xf numFmtId="0" fontId="2" fillId="0" borderId="0" xfId="2" applyFont="1"/>
    <xf numFmtId="0" fontId="3" fillId="12" borderId="1" xfId="1" applyFill="1" applyBorder="1"/>
    <xf numFmtId="49" fontId="1" fillId="0" borderId="0" xfId="0" applyNumberFormat="1" applyFont="1" applyAlignment="1">
      <alignment horizontal="left"/>
    </xf>
    <xf numFmtId="0" fontId="7" fillId="0" borderId="0" xfId="0" applyFont="1" applyAlignment="1">
      <alignment horizontal="left" wrapText="1"/>
    </xf>
    <xf numFmtId="0" fontId="3" fillId="0" borderId="0" xfId="1"/>
  </cellXfs>
  <cellStyles count="4">
    <cellStyle name="Hyperlink" xfId="1" builtinId="8"/>
    <cellStyle name="Hyperlink 2" xfId="3" xr:uid="{AD1C3A76-3EA8-407A-B2AC-2A2C76B51742}"/>
    <cellStyle name="Normal" xfId="0" builtinId="0"/>
    <cellStyle name="Normal 2" xfId="2" xr:uid="{5B150E8B-30AF-4D43-9F6A-886D70FEA9BC}"/>
  </cellStyles>
  <dxfs count="0"/>
  <tableStyles count="0" defaultTableStyle="TableStyleMedium2" defaultPivotStyle="PivotStyleLight16"/>
  <colors>
    <indexedColors>
      <rgbColor rgb="FF000000"/>
      <rgbColor rgb="FFFFFFFF"/>
      <rgbColor rgb="FFFF0000"/>
      <rgbColor rgb="FF00FF00"/>
      <rgbColor rgb="FF0000FF"/>
      <rgbColor rgb="FFD7F841"/>
      <rgbColor rgb="FFFF00FF"/>
      <rgbColor rgb="FF00FFFF"/>
      <rgbColor rgb="FF800000"/>
      <rgbColor rgb="FF008000"/>
      <rgbColor rgb="FF000080"/>
      <rgbColor rgb="FF808000"/>
      <rgbColor rgb="FF800080"/>
      <rgbColor rgb="FF008080"/>
      <rgbColor rgb="FFAFCBCD"/>
      <rgbColor rgb="FF8C876C"/>
      <rgbColor rgb="FF9999FF"/>
      <rgbColor rgb="FF993366"/>
      <rgbColor rgb="FFFFFFCC"/>
      <rgbColor rgb="FFCCFFFF"/>
      <rgbColor rgb="FF660066"/>
      <rgbColor rgb="FFFF8080"/>
      <rgbColor rgb="FF0563C1"/>
      <rgbColor rgb="FFB6DDE8"/>
      <rgbColor rgb="FF000080"/>
      <rgbColor rgb="FFFF00FF"/>
      <rgbColor rgb="FFFFFF00"/>
      <rgbColor rgb="FF00FFFF"/>
      <rgbColor rgb="FF800080"/>
      <rgbColor rgb="FF800000"/>
      <rgbColor rgb="FF008080"/>
      <rgbColor rgb="FF0000FF"/>
      <rgbColor rgb="FF00CCFF"/>
      <rgbColor rgb="FFCCFFFF"/>
      <rgbColor rgb="FFCCFFCC"/>
      <rgbColor rgb="FFFFFFA6"/>
      <rgbColor rgb="FFC4BD97"/>
      <rgbColor rgb="FFFF99CC"/>
      <rgbColor rgb="FFBFBF7D"/>
      <rgbColor rgb="FFFABF8F"/>
      <rgbColor rgb="FF1155CC"/>
      <rgbColor rgb="FF33CCCC"/>
      <rgbColor rgb="FF91A82C"/>
      <rgbColor rgb="FFFFCC00"/>
      <rgbColor rgb="FFFF9900"/>
      <rgbColor rgb="FFFF6600"/>
      <rgbColor rgb="FF666699"/>
      <rgbColor rgb="FFBF926D"/>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B6DDE8"/>
      <color rgb="FFD78FA6"/>
      <color rgb="FFFFB9D0"/>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orcid.org/0000-0001-9250-9813" TargetMode="External"/><Relationship Id="rId21" Type="http://schemas.openxmlformats.org/officeDocument/2006/relationships/hyperlink" Target="https://orcid.org/0000-0001-9250-9813" TargetMode="External"/><Relationship Id="rId42" Type="http://schemas.openxmlformats.org/officeDocument/2006/relationships/hyperlink" Target="https://orcid.org/0000-0002-3380-3470" TargetMode="External"/><Relationship Id="rId63" Type="http://schemas.openxmlformats.org/officeDocument/2006/relationships/hyperlink" Target="https://orcid.org/0000-0002-3380-3470" TargetMode="External"/><Relationship Id="rId84" Type="http://schemas.openxmlformats.org/officeDocument/2006/relationships/hyperlink" Target="https://www.pidconsortium.net/" TargetMode="External"/><Relationship Id="rId138" Type="http://schemas.openxmlformats.org/officeDocument/2006/relationships/hyperlink" Target="https://orcid.org/0000-0002-3380-3470" TargetMode="External"/><Relationship Id="rId159" Type="http://schemas.openxmlformats.org/officeDocument/2006/relationships/hyperlink" Target="https://orcid.org/0000-0002-3380-3470" TargetMode="External"/><Relationship Id="rId170" Type="http://schemas.openxmlformats.org/officeDocument/2006/relationships/hyperlink" Target="https://orcid.org/0000-0003-4157-0838" TargetMode="External"/><Relationship Id="rId191" Type="http://schemas.openxmlformats.org/officeDocument/2006/relationships/hyperlink" Target="https://orcid.org/0000-0001-5722-3430" TargetMode="External"/><Relationship Id="rId107" Type="http://schemas.openxmlformats.org/officeDocument/2006/relationships/hyperlink" Target="https://orcid.org/0000-0001-9250-9813" TargetMode="External"/><Relationship Id="rId11" Type="http://schemas.openxmlformats.org/officeDocument/2006/relationships/hyperlink" Target="https://orcid.org/0000-0001-9250-9813" TargetMode="External"/><Relationship Id="rId32" Type="http://schemas.openxmlformats.org/officeDocument/2006/relationships/hyperlink" Target="https://orcid.org/0000-0002-3380-3470" TargetMode="External"/><Relationship Id="rId53" Type="http://schemas.openxmlformats.org/officeDocument/2006/relationships/hyperlink" Target="https://orcid.org/0000-0001-9250-9813" TargetMode="External"/><Relationship Id="rId74" Type="http://schemas.openxmlformats.org/officeDocument/2006/relationships/hyperlink" Target="https://orcid.org/0000-0001-9250-9813" TargetMode="External"/><Relationship Id="rId128" Type="http://schemas.openxmlformats.org/officeDocument/2006/relationships/hyperlink" Target="https://orcid.org/0000-0002-3380-3470" TargetMode="External"/><Relationship Id="rId149" Type="http://schemas.openxmlformats.org/officeDocument/2006/relationships/hyperlink" Target="https://orcid.org/0000-0002-3380-3470" TargetMode="External"/><Relationship Id="rId5" Type="http://schemas.openxmlformats.org/officeDocument/2006/relationships/hyperlink" Target="https://orcid.org/0000-0001-9250-9813" TargetMode="External"/><Relationship Id="rId95" Type="http://schemas.openxmlformats.org/officeDocument/2006/relationships/hyperlink" Target="https://orcid.org/0000-0001-9250-9813" TargetMode="External"/><Relationship Id="rId160" Type="http://schemas.openxmlformats.org/officeDocument/2006/relationships/hyperlink" Target="https://orcid.org/0000-0003-4157-0838" TargetMode="External"/><Relationship Id="rId181" Type="http://schemas.openxmlformats.org/officeDocument/2006/relationships/hyperlink" Target="https://orcid.org/0000-0001-5722-3430" TargetMode="External"/><Relationship Id="rId22" Type="http://schemas.openxmlformats.org/officeDocument/2006/relationships/hyperlink" Target="https://orcid.org/0000-0002-3380-3470" TargetMode="External"/><Relationship Id="rId43" Type="http://schemas.openxmlformats.org/officeDocument/2006/relationships/hyperlink" Target="https://orcid.org/0000-0001-9250-9813" TargetMode="External"/><Relationship Id="rId64" Type="http://schemas.openxmlformats.org/officeDocument/2006/relationships/hyperlink" Target="https://orcid.org/0000-0001-9250-9813" TargetMode="External"/><Relationship Id="rId118" Type="http://schemas.openxmlformats.org/officeDocument/2006/relationships/hyperlink" Target="https://orcid.org/0000-0002-3380-3470" TargetMode="External"/><Relationship Id="rId139" Type="http://schemas.openxmlformats.org/officeDocument/2006/relationships/hyperlink" Target="https://orcid.org/0000-0002-3380-3470" TargetMode="External"/><Relationship Id="rId85" Type="http://schemas.openxmlformats.org/officeDocument/2006/relationships/hyperlink" Target="https://orcid.org/0000-0002-3380-3470" TargetMode="External"/><Relationship Id="rId150" Type="http://schemas.openxmlformats.org/officeDocument/2006/relationships/hyperlink" Target="https://orcid.org/0000-0002-3380-3470" TargetMode="External"/><Relationship Id="rId171" Type="http://schemas.openxmlformats.org/officeDocument/2006/relationships/hyperlink" Target="https://orcid.org/0000-0003-0648-6622" TargetMode="External"/><Relationship Id="rId192" Type="http://schemas.openxmlformats.org/officeDocument/2006/relationships/hyperlink" Target="https://orcid.org/0000-0002-3380-3470" TargetMode="External"/><Relationship Id="rId12" Type="http://schemas.openxmlformats.org/officeDocument/2006/relationships/hyperlink" Target="https://orcid.org/0000-0002-3380-3470" TargetMode="External"/><Relationship Id="rId33" Type="http://schemas.openxmlformats.org/officeDocument/2006/relationships/hyperlink" Target="https://orcid.org/0000-0001-9250-9813" TargetMode="External"/><Relationship Id="rId108" Type="http://schemas.openxmlformats.org/officeDocument/2006/relationships/hyperlink" Target="https://orcid.org/0000-0002-3380-3470" TargetMode="External"/><Relationship Id="rId129" Type="http://schemas.openxmlformats.org/officeDocument/2006/relationships/hyperlink" Target="https://orcid.org/0000-0002-3380-3470" TargetMode="External"/><Relationship Id="rId54" Type="http://schemas.openxmlformats.org/officeDocument/2006/relationships/hyperlink" Target="https://orcid.org/0000-0002-3380-3470" TargetMode="External"/><Relationship Id="rId75" Type="http://schemas.openxmlformats.org/officeDocument/2006/relationships/hyperlink" Target="https://orcid.org/0000-0002-3380-3470" TargetMode="External"/><Relationship Id="rId96" Type="http://schemas.openxmlformats.org/officeDocument/2006/relationships/hyperlink" Target="https://orcid.org/0000-0002-3380-3470" TargetMode="External"/><Relationship Id="rId140" Type="http://schemas.openxmlformats.org/officeDocument/2006/relationships/hyperlink" Target="https://orcid.org/0000-0002-3380-3470" TargetMode="External"/><Relationship Id="rId161" Type="http://schemas.openxmlformats.org/officeDocument/2006/relationships/hyperlink" Target="https://orcid.org/0000-0003-4157-0838" TargetMode="External"/><Relationship Id="rId182" Type="http://schemas.openxmlformats.org/officeDocument/2006/relationships/hyperlink" Target="https://orcid.org/0000-0001-5722-3430" TargetMode="External"/><Relationship Id="rId6" Type="http://schemas.openxmlformats.org/officeDocument/2006/relationships/hyperlink" Target="https://orcid.org/0000-0002-3380-3470" TargetMode="External"/><Relationship Id="rId23" Type="http://schemas.openxmlformats.org/officeDocument/2006/relationships/hyperlink" Target="https://orcid.org/0000-0001-9250-9813" TargetMode="External"/><Relationship Id="rId119" Type="http://schemas.openxmlformats.org/officeDocument/2006/relationships/hyperlink" Target="https://orcid.org/0000-0001-9250-9813" TargetMode="External"/><Relationship Id="rId44" Type="http://schemas.openxmlformats.org/officeDocument/2006/relationships/hyperlink" Target="https://orcid.org/0000-0002-3380-3470" TargetMode="External"/><Relationship Id="rId65" Type="http://schemas.openxmlformats.org/officeDocument/2006/relationships/hyperlink" Target="https://orcid.org/0000-0002-3380-3470" TargetMode="External"/><Relationship Id="rId86" Type="http://schemas.openxmlformats.org/officeDocument/2006/relationships/hyperlink" Target="https://orcid.org/0000-0001-9250-9813" TargetMode="External"/><Relationship Id="rId130" Type="http://schemas.openxmlformats.org/officeDocument/2006/relationships/hyperlink" Target="https://orcid.org/0000-0002-3380-3470" TargetMode="External"/><Relationship Id="rId151" Type="http://schemas.openxmlformats.org/officeDocument/2006/relationships/hyperlink" Target="https://orcid.org/0000-0002-3380-3470" TargetMode="External"/><Relationship Id="rId172" Type="http://schemas.openxmlformats.org/officeDocument/2006/relationships/hyperlink" Target="https://orcid.org/0000-0003-0648-6622" TargetMode="External"/><Relationship Id="rId193" Type="http://schemas.openxmlformats.org/officeDocument/2006/relationships/hyperlink" Target="https://orcid.org/0000-0002-3380-3470" TargetMode="External"/><Relationship Id="rId13" Type="http://schemas.openxmlformats.org/officeDocument/2006/relationships/hyperlink" Target="https://orcid.org/0000-0001-9250-9813" TargetMode="External"/><Relationship Id="rId109" Type="http://schemas.openxmlformats.org/officeDocument/2006/relationships/hyperlink" Target="https://orcid.org/0000-0001-9250-9813" TargetMode="External"/><Relationship Id="rId34" Type="http://schemas.openxmlformats.org/officeDocument/2006/relationships/hyperlink" Target="https://orcid.org/0000-0002-3380-3470" TargetMode="External"/><Relationship Id="rId55" Type="http://schemas.openxmlformats.org/officeDocument/2006/relationships/hyperlink" Target="https://orcid.org/0000-0001-9250-9813" TargetMode="External"/><Relationship Id="rId76" Type="http://schemas.openxmlformats.org/officeDocument/2006/relationships/hyperlink" Target="https://orcid.org/0000-0001-9250-9813" TargetMode="External"/><Relationship Id="rId97" Type="http://schemas.openxmlformats.org/officeDocument/2006/relationships/hyperlink" Target="https://orcid.org/0000-0001-9250-9813" TargetMode="External"/><Relationship Id="rId120" Type="http://schemas.openxmlformats.org/officeDocument/2006/relationships/hyperlink" Target="https://orcid.org/0000-0002-3380-3470" TargetMode="External"/><Relationship Id="rId141" Type="http://schemas.openxmlformats.org/officeDocument/2006/relationships/hyperlink" Target="https://orcid.org/0000-0002-3380-3470" TargetMode="External"/><Relationship Id="rId7" Type="http://schemas.openxmlformats.org/officeDocument/2006/relationships/hyperlink" Target="https://orcid.org/0000-0001-9250-9813" TargetMode="External"/><Relationship Id="rId71" Type="http://schemas.openxmlformats.org/officeDocument/2006/relationships/hyperlink" Target="https://orcid.org/0000-0002-3380-3470" TargetMode="External"/><Relationship Id="rId92" Type="http://schemas.openxmlformats.org/officeDocument/2006/relationships/hyperlink" Target="https://orcid.org/0000-0002-3380-3470" TargetMode="External"/><Relationship Id="rId162" Type="http://schemas.openxmlformats.org/officeDocument/2006/relationships/hyperlink" Target="https://orcid.org/0000-0003-4157-0838" TargetMode="External"/><Relationship Id="rId183" Type="http://schemas.openxmlformats.org/officeDocument/2006/relationships/hyperlink" Target="https://orcid.org/0000-0001-5722-3430" TargetMode="External"/><Relationship Id="rId2" Type="http://schemas.openxmlformats.org/officeDocument/2006/relationships/hyperlink" Target="https://w3id.org/iadopt/ont/" TargetMode="External"/><Relationship Id="rId29" Type="http://schemas.openxmlformats.org/officeDocument/2006/relationships/hyperlink" Target="https://orcid.org/0000-0001-9250-9813" TargetMode="External"/><Relationship Id="rId24" Type="http://schemas.openxmlformats.org/officeDocument/2006/relationships/hyperlink" Target="https://orcid.org/0000-0002-3380-3470" TargetMode="External"/><Relationship Id="rId40" Type="http://schemas.openxmlformats.org/officeDocument/2006/relationships/hyperlink" Target="https://orcid.org/0000-0002-3380-3470" TargetMode="External"/><Relationship Id="rId45" Type="http://schemas.openxmlformats.org/officeDocument/2006/relationships/hyperlink" Target="https://orcid.org/0000-0001-9250-9813" TargetMode="External"/><Relationship Id="rId66" Type="http://schemas.openxmlformats.org/officeDocument/2006/relationships/hyperlink" Target="https://orcid.org/0000-0001-9250-9813" TargetMode="External"/><Relationship Id="rId87" Type="http://schemas.openxmlformats.org/officeDocument/2006/relationships/hyperlink" Target="https://orcid.org/0000-0001-9250-9813" TargetMode="External"/><Relationship Id="rId110" Type="http://schemas.openxmlformats.org/officeDocument/2006/relationships/hyperlink" Target="https://orcid.org/0000-0002-3380-3470" TargetMode="External"/><Relationship Id="rId115" Type="http://schemas.openxmlformats.org/officeDocument/2006/relationships/hyperlink" Target="https://orcid.org/0000-0001-9250-9813" TargetMode="External"/><Relationship Id="rId131" Type="http://schemas.openxmlformats.org/officeDocument/2006/relationships/hyperlink" Target="https://orcid.org/0000-0002-3380-3470" TargetMode="External"/><Relationship Id="rId136" Type="http://schemas.openxmlformats.org/officeDocument/2006/relationships/hyperlink" Target="https://orcid.org/0000-0002-3380-3470" TargetMode="External"/><Relationship Id="rId157" Type="http://schemas.openxmlformats.org/officeDocument/2006/relationships/hyperlink" Target="https://orcid.org/0000-0002-3380-3470" TargetMode="External"/><Relationship Id="rId178" Type="http://schemas.openxmlformats.org/officeDocument/2006/relationships/hyperlink" Target="https://orcid.org/0000-0001-5722-3430" TargetMode="External"/><Relationship Id="rId61" Type="http://schemas.openxmlformats.org/officeDocument/2006/relationships/hyperlink" Target="https://orcid.org/0000-0002-3380-3470" TargetMode="External"/><Relationship Id="rId82" Type="http://schemas.openxmlformats.org/officeDocument/2006/relationships/hyperlink" Target="https://orcid.org/0000-0002-3380-3470" TargetMode="External"/><Relationship Id="rId152" Type="http://schemas.openxmlformats.org/officeDocument/2006/relationships/hyperlink" Target="https://orcid.org/0000-0002-3380-3470" TargetMode="External"/><Relationship Id="rId173" Type="http://schemas.openxmlformats.org/officeDocument/2006/relationships/hyperlink" Target="https://orcid.org/0000-0002-3380-3470" TargetMode="External"/><Relationship Id="rId194" Type="http://schemas.openxmlformats.org/officeDocument/2006/relationships/hyperlink" Target="https://orcid.org/0000-0002-3380-3470" TargetMode="External"/><Relationship Id="rId19" Type="http://schemas.openxmlformats.org/officeDocument/2006/relationships/hyperlink" Target="https://orcid.org/0000-0001-9250-9813" TargetMode="External"/><Relationship Id="rId14" Type="http://schemas.openxmlformats.org/officeDocument/2006/relationships/hyperlink" Target="https://orcid.org/0000-0002-3380-3470" TargetMode="External"/><Relationship Id="rId30" Type="http://schemas.openxmlformats.org/officeDocument/2006/relationships/hyperlink" Target="https://orcid.org/0000-0002-3380-3470" TargetMode="External"/><Relationship Id="rId35" Type="http://schemas.openxmlformats.org/officeDocument/2006/relationships/hyperlink" Target="https://orcid.org/0000-0001-9250-9813" TargetMode="External"/><Relationship Id="rId56" Type="http://schemas.openxmlformats.org/officeDocument/2006/relationships/hyperlink" Target="https://orcid.org/0000-0002-3380-3470" TargetMode="External"/><Relationship Id="rId77" Type="http://schemas.openxmlformats.org/officeDocument/2006/relationships/hyperlink" Target="https://orcid.org/0000-0002-3380-3470" TargetMode="External"/><Relationship Id="rId100" Type="http://schemas.openxmlformats.org/officeDocument/2006/relationships/hyperlink" Target="https://orcid.org/0000-0002-3380-3470" TargetMode="External"/><Relationship Id="rId105" Type="http://schemas.openxmlformats.org/officeDocument/2006/relationships/hyperlink" Target="https://orcid.org/0000-0001-9250-9813" TargetMode="External"/><Relationship Id="rId126" Type="http://schemas.openxmlformats.org/officeDocument/2006/relationships/hyperlink" Target="https://orcid.org/0000-0002-3380-3470" TargetMode="External"/><Relationship Id="rId147" Type="http://schemas.openxmlformats.org/officeDocument/2006/relationships/hyperlink" Target="https://orcid.org/0000-0002-3380-3470" TargetMode="External"/><Relationship Id="rId168" Type="http://schemas.openxmlformats.org/officeDocument/2006/relationships/hyperlink" Target="https://orcid.org/0000-0003-4157-0838" TargetMode="External"/><Relationship Id="rId8" Type="http://schemas.openxmlformats.org/officeDocument/2006/relationships/hyperlink" Target="https://orcid.org/0000-0002-3380-3470" TargetMode="External"/><Relationship Id="rId51" Type="http://schemas.openxmlformats.org/officeDocument/2006/relationships/hyperlink" Target="https://orcid.org/0000-0001-9250-9813" TargetMode="External"/><Relationship Id="rId72" Type="http://schemas.openxmlformats.org/officeDocument/2006/relationships/hyperlink" Target="https://orcid.org/0000-0001-9250-9813" TargetMode="External"/><Relationship Id="rId93" Type="http://schemas.openxmlformats.org/officeDocument/2006/relationships/hyperlink" Target="https://orcid.org/0000-0001-9250-9813" TargetMode="External"/><Relationship Id="rId98" Type="http://schemas.openxmlformats.org/officeDocument/2006/relationships/hyperlink" Target="https://orcid.org/0000-0002-3380-3470" TargetMode="External"/><Relationship Id="rId121" Type="http://schemas.openxmlformats.org/officeDocument/2006/relationships/hyperlink" Target="https://orcid.org/0000-0001-9250-9813" TargetMode="External"/><Relationship Id="rId142" Type="http://schemas.openxmlformats.org/officeDocument/2006/relationships/hyperlink" Target="https://orcid.org/0000-0002-3380-3470" TargetMode="External"/><Relationship Id="rId163" Type="http://schemas.openxmlformats.org/officeDocument/2006/relationships/hyperlink" Target="https://orcid.org/0000-0003-4157-0838" TargetMode="External"/><Relationship Id="rId184" Type="http://schemas.openxmlformats.org/officeDocument/2006/relationships/hyperlink" Target="https://orcid.org/0000-0001-5722-3430" TargetMode="External"/><Relationship Id="rId189" Type="http://schemas.openxmlformats.org/officeDocument/2006/relationships/hyperlink" Target="https://orcid.org/0000-0001-5722-3430" TargetMode="External"/><Relationship Id="rId3" Type="http://schemas.openxmlformats.org/officeDocument/2006/relationships/hyperlink" Target="https://orcid.org/0000-0002-3380-3470" TargetMode="External"/><Relationship Id="rId25" Type="http://schemas.openxmlformats.org/officeDocument/2006/relationships/hyperlink" Target="https://orcid.org/0000-0001-9250-9813" TargetMode="External"/><Relationship Id="rId46" Type="http://schemas.openxmlformats.org/officeDocument/2006/relationships/hyperlink" Target="https://orcid.org/0000-0002-3380-3470" TargetMode="External"/><Relationship Id="rId67" Type="http://schemas.openxmlformats.org/officeDocument/2006/relationships/hyperlink" Target="https://orcid.org/0000-0002-3380-3470" TargetMode="External"/><Relationship Id="rId116" Type="http://schemas.openxmlformats.org/officeDocument/2006/relationships/hyperlink" Target="https://orcid.org/0000-0002-3380-3470" TargetMode="External"/><Relationship Id="rId137" Type="http://schemas.openxmlformats.org/officeDocument/2006/relationships/hyperlink" Target="https://orcid.org/0000-0002-3380-3470" TargetMode="External"/><Relationship Id="rId158" Type="http://schemas.openxmlformats.org/officeDocument/2006/relationships/hyperlink" Target="https://orcid.org/0000-0002-3380-3470" TargetMode="External"/><Relationship Id="rId20" Type="http://schemas.openxmlformats.org/officeDocument/2006/relationships/hyperlink" Target="https://orcid.org/0000-0002-3380-3470" TargetMode="External"/><Relationship Id="rId41" Type="http://schemas.openxmlformats.org/officeDocument/2006/relationships/hyperlink" Target="https://orcid.org/0000-0001-9250-9813" TargetMode="External"/><Relationship Id="rId62" Type="http://schemas.openxmlformats.org/officeDocument/2006/relationships/hyperlink" Target="https://orcid.org/0000-0001-9250-9813" TargetMode="External"/><Relationship Id="rId83" Type="http://schemas.openxmlformats.org/officeDocument/2006/relationships/hyperlink" Target="https://orcid.org/0000-0001-9250-9813" TargetMode="External"/><Relationship Id="rId88" Type="http://schemas.openxmlformats.org/officeDocument/2006/relationships/hyperlink" Target="https://orcid.org/0000-0002-3380-3470" TargetMode="External"/><Relationship Id="rId111" Type="http://schemas.openxmlformats.org/officeDocument/2006/relationships/hyperlink" Target="https://orcid.org/0000-0001-9250-9813" TargetMode="External"/><Relationship Id="rId132" Type="http://schemas.openxmlformats.org/officeDocument/2006/relationships/hyperlink" Target="https://orcid.org/0000-0002-3380-3470" TargetMode="External"/><Relationship Id="rId153" Type="http://schemas.openxmlformats.org/officeDocument/2006/relationships/hyperlink" Target="https://orcid.org/0000-0002-3380-3470" TargetMode="External"/><Relationship Id="rId174" Type="http://schemas.openxmlformats.org/officeDocument/2006/relationships/hyperlink" Target="https://orcid.org/0000-0003-0648-6622" TargetMode="External"/><Relationship Id="rId179" Type="http://schemas.openxmlformats.org/officeDocument/2006/relationships/hyperlink" Target="https://orcid.org/0000-0001-5722-3430" TargetMode="External"/><Relationship Id="rId195" Type="http://schemas.openxmlformats.org/officeDocument/2006/relationships/hyperlink" Target="https://vocabulary/" TargetMode="External"/><Relationship Id="rId190" Type="http://schemas.openxmlformats.org/officeDocument/2006/relationships/hyperlink" Target="https://orcid.org/0000-0001-5722-3430" TargetMode="External"/><Relationship Id="rId15" Type="http://schemas.openxmlformats.org/officeDocument/2006/relationships/hyperlink" Target="https://orcid.org/0000-0001-9250-9813" TargetMode="External"/><Relationship Id="rId36" Type="http://schemas.openxmlformats.org/officeDocument/2006/relationships/hyperlink" Target="https://orcid.org/0000-0002-3380-3470" TargetMode="External"/><Relationship Id="rId57" Type="http://schemas.openxmlformats.org/officeDocument/2006/relationships/hyperlink" Target="https://orcid.org/0000-0001-9250-9813" TargetMode="External"/><Relationship Id="rId106" Type="http://schemas.openxmlformats.org/officeDocument/2006/relationships/hyperlink" Target="https://orcid.org/0000-0002-3380-3470" TargetMode="External"/><Relationship Id="rId127" Type="http://schemas.openxmlformats.org/officeDocument/2006/relationships/hyperlink" Target="https://orcid.org/0000-0002-3380-3470" TargetMode="External"/><Relationship Id="rId10" Type="http://schemas.openxmlformats.org/officeDocument/2006/relationships/hyperlink" Target="https://orcid.org/0000-0002-3380-3470" TargetMode="External"/><Relationship Id="rId31" Type="http://schemas.openxmlformats.org/officeDocument/2006/relationships/hyperlink" Target="https://orcid.org/0000-0001-9250-9813" TargetMode="External"/><Relationship Id="rId52" Type="http://schemas.openxmlformats.org/officeDocument/2006/relationships/hyperlink" Target="https://orcid.org/0000-0002-3380-3470" TargetMode="External"/><Relationship Id="rId73" Type="http://schemas.openxmlformats.org/officeDocument/2006/relationships/hyperlink" Target="https://orcid.org/0000-0002-3380-3470" TargetMode="External"/><Relationship Id="rId78" Type="http://schemas.openxmlformats.org/officeDocument/2006/relationships/hyperlink" Target="https://orcid.org/0000-0001-9250-9813" TargetMode="External"/><Relationship Id="rId94" Type="http://schemas.openxmlformats.org/officeDocument/2006/relationships/hyperlink" Target="https://orcid.org/0000-0002-3380-3470" TargetMode="External"/><Relationship Id="rId99" Type="http://schemas.openxmlformats.org/officeDocument/2006/relationships/hyperlink" Target="https://orcid.org/0000-0001-9250-9813" TargetMode="External"/><Relationship Id="rId101" Type="http://schemas.openxmlformats.org/officeDocument/2006/relationships/hyperlink" Target="https://orcid.org/0000-0001-9250-9813" TargetMode="External"/><Relationship Id="rId122" Type="http://schemas.openxmlformats.org/officeDocument/2006/relationships/hyperlink" Target="https://orcid.org/0000-0002-3380-3470" TargetMode="External"/><Relationship Id="rId143" Type="http://schemas.openxmlformats.org/officeDocument/2006/relationships/hyperlink" Target="https://orcid.org/0000-0002-3380-3470" TargetMode="External"/><Relationship Id="rId148" Type="http://schemas.openxmlformats.org/officeDocument/2006/relationships/hyperlink" Target="https://orcid.org/0000-0002-3380-3470" TargetMode="External"/><Relationship Id="rId164" Type="http://schemas.openxmlformats.org/officeDocument/2006/relationships/hyperlink" Target="https://orcid.org/0000-0003-4157-0838" TargetMode="External"/><Relationship Id="rId169" Type="http://schemas.openxmlformats.org/officeDocument/2006/relationships/hyperlink" Target="https://orcid.org/0000-0003-4157-0838" TargetMode="External"/><Relationship Id="rId185" Type="http://schemas.openxmlformats.org/officeDocument/2006/relationships/hyperlink" Target="https://orcid.org/0000-0001-5722-3430" TargetMode="External"/><Relationship Id="rId4" Type="http://schemas.openxmlformats.org/officeDocument/2006/relationships/hyperlink" Target="https://orcid.org/0000-0001-9250-9813" TargetMode="External"/><Relationship Id="rId9" Type="http://schemas.openxmlformats.org/officeDocument/2006/relationships/hyperlink" Target="https://orcid.org/0000-0001-9250-9813" TargetMode="External"/><Relationship Id="rId180" Type="http://schemas.openxmlformats.org/officeDocument/2006/relationships/hyperlink" Target="https://orcid.org/0000-0001-5722-3430" TargetMode="External"/><Relationship Id="rId26" Type="http://schemas.openxmlformats.org/officeDocument/2006/relationships/hyperlink" Target="https://orcid.org/0000-0002-3380-3470" TargetMode="External"/><Relationship Id="rId47" Type="http://schemas.openxmlformats.org/officeDocument/2006/relationships/hyperlink" Target="https://orcid.org/0000-0001-9250-9813" TargetMode="External"/><Relationship Id="rId68" Type="http://schemas.openxmlformats.org/officeDocument/2006/relationships/hyperlink" Target="https://orcid.org/0000-0001-9250-9813" TargetMode="External"/><Relationship Id="rId89" Type="http://schemas.openxmlformats.org/officeDocument/2006/relationships/hyperlink" Target="https://orcid.org/0000-0001-9250-9813" TargetMode="External"/><Relationship Id="rId112" Type="http://schemas.openxmlformats.org/officeDocument/2006/relationships/hyperlink" Target="https://orcid.org/0000-0002-3380-3470" TargetMode="External"/><Relationship Id="rId133" Type="http://schemas.openxmlformats.org/officeDocument/2006/relationships/hyperlink" Target="https://orcid.org/0000-0002-3380-3470" TargetMode="External"/><Relationship Id="rId154" Type="http://schemas.openxmlformats.org/officeDocument/2006/relationships/hyperlink" Target="https://orcid.org/0000-0002-3380-3470" TargetMode="External"/><Relationship Id="rId175" Type="http://schemas.openxmlformats.org/officeDocument/2006/relationships/hyperlink" Target="https://orcid.org/0000-0002-3380-3470" TargetMode="External"/><Relationship Id="rId196" Type="http://schemas.openxmlformats.org/officeDocument/2006/relationships/hyperlink" Target="https://vocabulary/" TargetMode="External"/><Relationship Id="rId16" Type="http://schemas.openxmlformats.org/officeDocument/2006/relationships/hyperlink" Target="https://orcid.org/0000-0002-3380-3470" TargetMode="External"/><Relationship Id="rId37" Type="http://schemas.openxmlformats.org/officeDocument/2006/relationships/hyperlink" Target="https://orcid.org/0000-0001-9250-9813" TargetMode="External"/><Relationship Id="rId58" Type="http://schemas.openxmlformats.org/officeDocument/2006/relationships/hyperlink" Target="https://orcid.org/0000-0001-9250-9813" TargetMode="External"/><Relationship Id="rId79" Type="http://schemas.openxmlformats.org/officeDocument/2006/relationships/hyperlink" Target="https://orcid.org/0000-0002-3380-3470" TargetMode="External"/><Relationship Id="rId102" Type="http://schemas.openxmlformats.org/officeDocument/2006/relationships/hyperlink" Target="https://orcid.org/0000-0002-3380-3470" TargetMode="External"/><Relationship Id="rId123" Type="http://schemas.openxmlformats.org/officeDocument/2006/relationships/hyperlink" Target="https://orcid.org/0000-0002-3380-3470" TargetMode="External"/><Relationship Id="rId144" Type="http://schemas.openxmlformats.org/officeDocument/2006/relationships/hyperlink" Target="https://orcid.org/0000-0002-3380-3470" TargetMode="External"/><Relationship Id="rId90" Type="http://schemas.openxmlformats.org/officeDocument/2006/relationships/hyperlink" Target="https://orcid.org/0000-0002-3380-3470" TargetMode="External"/><Relationship Id="rId165" Type="http://schemas.openxmlformats.org/officeDocument/2006/relationships/hyperlink" Target="https://orcid.org/0000-0003-4157-0838" TargetMode="External"/><Relationship Id="rId186" Type="http://schemas.openxmlformats.org/officeDocument/2006/relationships/hyperlink" Target="https://orcid.org/0000-0001-5722-3430" TargetMode="External"/><Relationship Id="rId27" Type="http://schemas.openxmlformats.org/officeDocument/2006/relationships/hyperlink" Target="https://orcid.org/0000-0001-9250-9813" TargetMode="External"/><Relationship Id="rId48" Type="http://schemas.openxmlformats.org/officeDocument/2006/relationships/hyperlink" Target="https://orcid.org/0000-0002-3380-3470" TargetMode="External"/><Relationship Id="rId69" Type="http://schemas.openxmlformats.org/officeDocument/2006/relationships/hyperlink" Target="https://orcid.org/0000-0002-3380-3470" TargetMode="External"/><Relationship Id="rId113" Type="http://schemas.openxmlformats.org/officeDocument/2006/relationships/hyperlink" Target="https://orcid.org/0000-0001-9250-9813" TargetMode="External"/><Relationship Id="rId134" Type="http://schemas.openxmlformats.org/officeDocument/2006/relationships/hyperlink" Target="https://orcid.org/0000-0002-3380-3470" TargetMode="External"/><Relationship Id="rId80" Type="http://schemas.openxmlformats.org/officeDocument/2006/relationships/hyperlink" Target="https://orcid.org/0000-0001-9250-9813" TargetMode="External"/><Relationship Id="rId155" Type="http://schemas.openxmlformats.org/officeDocument/2006/relationships/hyperlink" Target="https://orcid.org/0000-0002-3380-3470" TargetMode="External"/><Relationship Id="rId176" Type="http://schemas.openxmlformats.org/officeDocument/2006/relationships/hyperlink" Target="https://orcid.org/0000-0001-5722-3430" TargetMode="External"/><Relationship Id="rId197" Type="http://schemas.openxmlformats.org/officeDocument/2006/relationships/hyperlink" Target="https://vocabulary.actris.nilu.no/actris_vocab/" TargetMode="External"/><Relationship Id="rId17" Type="http://schemas.openxmlformats.org/officeDocument/2006/relationships/hyperlink" Target="https://orcid.org/0000-0001-9250-9813" TargetMode="External"/><Relationship Id="rId38" Type="http://schemas.openxmlformats.org/officeDocument/2006/relationships/hyperlink" Target="https://orcid.org/0000-0002-3380-3470" TargetMode="External"/><Relationship Id="rId59" Type="http://schemas.openxmlformats.org/officeDocument/2006/relationships/hyperlink" Target="https://orcid.org/0000-0002-3380-3470" TargetMode="External"/><Relationship Id="rId103" Type="http://schemas.openxmlformats.org/officeDocument/2006/relationships/hyperlink" Target="https://orcid.org/0000-0001-9250-9813" TargetMode="External"/><Relationship Id="rId124" Type="http://schemas.openxmlformats.org/officeDocument/2006/relationships/hyperlink" Target="https://orcid.org/0000-0002-3380-3470" TargetMode="External"/><Relationship Id="rId70" Type="http://schemas.openxmlformats.org/officeDocument/2006/relationships/hyperlink" Target="https://orcid.org/0000-0001-9250-9813" TargetMode="External"/><Relationship Id="rId91" Type="http://schemas.openxmlformats.org/officeDocument/2006/relationships/hyperlink" Target="https://orcid.org/0000-0001-9250-9813" TargetMode="External"/><Relationship Id="rId145" Type="http://schemas.openxmlformats.org/officeDocument/2006/relationships/hyperlink" Target="https://orcid.org/0000-0002-3380-3470" TargetMode="External"/><Relationship Id="rId166" Type="http://schemas.openxmlformats.org/officeDocument/2006/relationships/hyperlink" Target="https://orcid.org/0000-0003-4157-0838" TargetMode="External"/><Relationship Id="rId187" Type="http://schemas.openxmlformats.org/officeDocument/2006/relationships/hyperlink" Target="https://orcid.org/0000-0001-5722-3430" TargetMode="External"/><Relationship Id="rId1" Type="http://schemas.openxmlformats.org/officeDocument/2006/relationships/hyperlink" Target="http://purl.org/dc/terms/" TargetMode="External"/><Relationship Id="rId28" Type="http://schemas.openxmlformats.org/officeDocument/2006/relationships/hyperlink" Target="https://orcid.org/0000-0002-3380-3470" TargetMode="External"/><Relationship Id="rId49" Type="http://schemas.openxmlformats.org/officeDocument/2006/relationships/hyperlink" Target="https://orcid.org/0000-0001-9250-9813" TargetMode="External"/><Relationship Id="rId114" Type="http://schemas.openxmlformats.org/officeDocument/2006/relationships/hyperlink" Target="https://orcid.org/0000-0002-3380-3470" TargetMode="External"/><Relationship Id="rId60" Type="http://schemas.openxmlformats.org/officeDocument/2006/relationships/hyperlink" Target="https://orcid.org/0000-0001-9250-9813" TargetMode="External"/><Relationship Id="rId81" Type="http://schemas.openxmlformats.org/officeDocument/2006/relationships/hyperlink" Target="https://www.handle.net/" TargetMode="External"/><Relationship Id="rId135" Type="http://schemas.openxmlformats.org/officeDocument/2006/relationships/hyperlink" Target="https://orcid.org/0000-0002-3380-3470" TargetMode="External"/><Relationship Id="rId156" Type="http://schemas.openxmlformats.org/officeDocument/2006/relationships/hyperlink" Target="https://orcid.org/0000-0002-3380-3470" TargetMode="External"/><Relationship Id="rId177" Type="http://schemas.openxmlformats.org/officeDocument/2006/relationships/hyperlink" Target="https://orcid.org/0000-0001-5722-3430" TargetMode="External"/><Relationship Id="rId198" Type="http://schemas.openxmlformats.org/officeDocument/2006/relationships/printerSettings" Target="../printerSettings/printerSettings1.bin"/><Relationship Id="rId18" Type="http://schemas.openxmlformats.org/officeDocument/2006/relationships/hyperlink" Target="https://orcid.org/0000-0002-3380-3470" TargetMode="External"/><Relationship Id="rId39" Type="http://schemas.openxmlformats.org/officeDocument/2006/relationships/hyperlink" Target="https://orcid.org/0000-0001-9250-9813" TargetMode="External"/><Relationship Id="rId50" Type="http://schemas.openxmlformats.org/officeDocument/2006/relationships/hyperlink" Target="https://orcid.org/0000-0002-3380-3470" TargetMode="External"/><Relationship Id="rId104" Type="http://schemas.openxmlformats.org/officeDocument/2006/relationships/hyperlink" Target="https://orcid.org/0000-0002-3380-3470" TargetMode="External"/><Relationship Id="rId125" Type="http://schemas.openxmlformats.org/officeDocument/2006/relationships/hyperlink" Target="https://orcid.org/0000-0002-3380-3470" TargetMode="External"/><Relationship Id="rId146" Type="http://schemas.openxmlformats.org/officeDocument/2006/relationships/hyperlink" Target="https://orcid.org/0000-0002-3380-3470" TargetMode="External"/><Relationship Id="rId167" Type="http://schemas.openxmlformats.org/officeDocument/2006/relationships/hyperlink" Target="https://orcid.org/0000-0003-4157-0838" TargetMode="External"/><Relationship Id="rId188" Type="http://schemas.openxmlformats.org/officeDocument/2006/relationships/hyperlink" Target="https://orcid.org/0000-0001-5722-34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5"/>
  <sheetViews>
    <sheetView tabSelected="1" zoomScale="70" zoomScaleNormal="70" workbookViewId="0">
      <pane ySplit="4860" topLeftCell="A20"/>
      <selection activeCell="B1" sqref="B1:C3"/>
      <selection pane="bottomLeft" activeCell="B50" sqref="B50"/>
    </sheetView>
  </sheetViews>
  <sheetFormatPr defaultColWidth="10.77734375" defaultRowHeight="15"/>
  <cols>
    <col min="1" max="1" width="56.77734375" style="1" customWidth="1"/>
    <col min="2" max="2" width="56.21875" style="1" customWidth="1"/>
    <col min="3" max="3" width="37.77734375" style="1" customWidth="1"/>
    <col min="4" max="4" width="76.21875" style="1" customWidth="1"/>
    <col min="5" max="5" width="38.88671875" style="1" customWidth="1"/>
    <col min="6" max="6" width="17.6640625" style="1" customWidth="1"/>
    <col min="7" max="7" width="19.5546875" style="1" customWidth="1"/>
    <col min="8" max="8" width="20" style="1" customWidth="1"/>
    <col min="9" max="9" width="32.5546875" style="1" customWidth="1"/>
    <col min="10" max="14" width="37.88671875" style="1" customWidth="1"/>
    <col min="15" max="15" width="21.6640625" style="1" customWidth="1"/>
    <col min="16" max="16" width="25.88671875" style="1" customWidth="1"/>
  </cols>
  <sheetData>
    <row r="1" spans="1:3" ht="15.75">
      <c r="A1" s="2" t="s">
        <v>0</v>
      </c>
      <c r="B1" s="3" t="s">
        <v>378</v>
      </c>
    </row>
    <row r="2" spans="1:3" ht="15.75">
      <c r="A2" s="2" t="s">
        <v>1</v>
      </c>
      <c r="B2" s="1" t="s">
        <v>2</v>
      </c>
      <c r="C2" s="3" t="s">
        <v>378</v>
      </c>
    </row>
    <row r="3" spans="1:3" ht="15.75">
      <c r="A3" s="31" t="s">
        <v>1</v>
      </c>
      <c r="B3" s="34" t="s">
        <v>149</v>
      </c>
      <c r="C3" s="35" t="s">
        <v>379</v>
      </c>
    </row>
    <row r="4" spans="1:3" ht="15.75">
      <c r="A4" s="2" t="s">
        <v>1</v>
      </c>
      <c r="B4" s="1" t="s">
        <v>3</v>
      </c>
      <c r="C4" s="1" t="s">
        <v>4</v>
      </c>
    </row>
    <row r="5" spans="1:3" ht="15.75">
      <c r="A5" s="2" t="s">
        <v>1</v>
      </c>
      <c r="B5" s="4" t="s">
        <v>5</v>
      </c>
      <c r="C5" s="4" t="s">
        <v>6</v>
      </c>
    </row>
    <row r="6" spans="1:3" ht="15.75">
      <c r="A6" s="2" t="s">
        <v>1</v>
      </c>
      <c r="B6" s="1" t="s">
        <v>7</v>
      </c>
      <c r="C6" s="1" t="s">
        <v>8</v>
      </c>
    </row>
    <row r="7" spans="1:3" ht="15.75">
      <c r="A7" s="2" t="s">
        <v>9</v>
      </c>
      <c r="B7" s="1" t="s">
        <v>10</v>
      </c>
    </row>
    <row r="8" spans="1:3" ht="15.75">
      <c r="A8" s="2" t="s">
        <v>11</v>
      </c>
      <c r="B8" s="1" t="s">
        <v>10</v>
      </c>
    </row>
    <row r="9" spans="1:3" ht="15.75">
      <c r="A9" s="2" t="s">
        <v>12</v>
      </c>
      <c r="B9" s="1" t="s">
        <v>13</v>
      </c>
    </row>
    <row r="10" spans="1:3" ht="15.75">
      <c r="A10" s="2" t="s">
        <v>14</v>
      </c>
      <c r="B10" s="5" t="s">
        <v>15</v>
      </c>
    </row>
    <row r="11" spans="1:3" ht="15.75">
      <c r="A11" s="2" t="s">
        <v>16</v>
      </c>
      <c r="B11" s="5" t="s">
        <v>17</v>
      </c>
    </row>
    <row r="12" spans="1:3" ht="15.75">
      <c r="A12" s="6" t="s">
        <v>18</v>
      </c>
      <c r="B12" s="5" t="s">
        <v>19</v>
      </c>
    </row>
    <row r="13" spans="1:3" ht="15" customHeight="1">
      <c r="A13" s="2" t="s">
        <v>20</v>
      </c>
      <c r="B13" s="7" t="s">
        <v>21</v>
      </c>
    </row>
    <row r="14" spans="1:3" ht="15.75">
      <c r="A14" s="2" t="s">
        <v>22</v>
      </c>
      <c r="B14" s="7" t="s">
        <v>376</v>
      </c>
    </row>
    <row r="15" spans="1:3" ht="15.75">
      <c r="A15" s="2" t="s">
        <v>23</v>
      </c>
      <c r="B15" s="33" t="s">
        <v>377</v>
      </c>
    </row>
    <row r="16" spans="1:3" ht="15" customHeight="1">
      <c r="A16" s="1" t="str">
        <f>IF(ISBLANK($B16),"",$B$2 &amp; ":" &amp; (SUBSTITUTE(SUBSTITUTE(SUBSTITUTE(SUBSTITUTE(SUBSTITUTE(SUBSTITUTE(SUBSTITUTE(SUBSTITUTE(SUBSTITUTE(B16," ",""),"/","Div"),",","-"),"(","-"),")",""),"+","plus"),"--","-")," ",""),"&amp;","-")))</f>
        <v/>
      </c>
    </row>
    <row r="17" spans="1:16" ht="15" customHeight="1">
      <c r="A17" s="1" t="str">
        <f>IF(ISBLANK($B17),"",$B$2 &amp; ":" &amp; (SUBSTITUTE(SUBSTITUTE(SUBSTITUTE(SUBSTITUTE(SUBSTITUTE(SUBSTITUTE(SUBSTITUTE(SUBSTITUTE(SUBSTITUTE(B17," ",""),"/","Div"),",","-"),"(","-"),")",""),"+","plus"),"--","-")," ",""),"&amp;","-")))</f>
        <v/>
      </c>
    </row>
    <row r="18" spans="1:16">
      <c r="A18" s="1" t="str">
        <f>IF(ISBLANK($B18),"",$B$2 &amp; ":" &amp; (SUBSTITUTE(SUBSTITUTE(SUBSTITUTE(SUBSTITUTE(SUBSTITUTE(SUBSTITUTE(SUBSTITUTE(SUBSTITUTE(SUBSTITUTE(B18," ",""),"/","Div"),",","-"),"(","-"),")",""),"+","plus"),"--","-")," ",""),"&amp;","-")))</f>
        <v/>
      </c>
    </row>
    <row r="19" spans="1:16">
      <c r="A19" s="1" t="str">
        <f>IF(ISBLANK($B19),"",$B$2 &amp; ":" &amp; (SUBSTITUTE(SUBSTITUTE(SUBSTITUTE(SUBSTITUTE(SUBSTITUTE(SUBSTITUTE(SUBSTITUTE(SUBSTITUTE(SUBSTITUTE(B19," ",""),"/","Div"),",","-"),"(","-"),")",""),"+","plus"),"--","-")," ",""),"&amp;","-")))</f>
        <v/>
      </c>
    </row>
    <row r="20" spans="1:16" ht="31.5">
      <c r="A20" s="8" t="s">
        <v>24</v>
      </c>
      <c r="B20" s="9" t="s">
        <v>25</v>
      </c>
      <c r="C20" s="10" t="s">
        <v>26</v>
      </c>
      <c r="D20" s="10" t="s">
        <v>27</v>
      </c>
      <c r="E20" s="10" t="s">
        <v>28</v>
      </c>
      <c r="F20" s="10" t="s">
        <v>29</v>
      </c>
      <c r="G20" s="10" t="s">
        <v>30</v>
      </c>
      <c r="H20" s="10" t="s">
        <v>31</v>
      </c>
      <c r="I20" s="10" t="s">
        <v>32</v>
      </c>
      <c r="J20" s="10" t="s">
        <v>33</v>
      </c>
      <c r="K20" s="10" t="s">
        <v>34</v>
      </c>
      <c r="L20" s="10" t="s">
        <v>35</v>
      </c>
      <c r="M20" s="10" t="s">
        <v>36</v>
      </c>
      <c r="N20" s="10" t="s">
        <v>37</v>
      </c>
      <c r="O20" s="10" t="s">
        <v>38</v>
      </c>
      <c r="P20" s="10" t="s">
        <v>39</v>
      </c>
    </row>
    <row r="21" spans="1:16" ht="15" customHeight="1">
      <c r="A21" s="11" t="str">
        <f t="shared" ref="A21:A52" si="0">IF(ISBLANK($B21),"",$B$2 &amp; ":" &amp; (SUBSTITUTE(SUBSTITUTE(SUBSTITUTE(SUBSTITUTE(SUBSTITUTE(SUBSTITUTE(SUBSTITUTE(SUBSTITUTE(SUBSTITUTE(B21," ",""),"/","Div"),",","-"),"(","-"),")",""),"+","plus"),"--","-")," ",""),"&amp;","-")))</f>
        <v>ACTRIS_ctrl_lists:level</v>
      </c>
      <c r="B21" s="12" t="s">
        <v>40</v>
      </c>
      <c r="C21" s="12" t="s">
        <v>41</v>
      </c>
      <c r="D21" s="12" t="s">
        <v>42</v>
      </c>
      <c r="E21" s="12"/>
      <c r="F21" s="12"/>
      <c r="G21" s="12"/>
      <c r="H21" s="12"/>
      <c r="I21" s="12"/>
      <c r="J21" s="12"/>
      <c r="K21" s="12"/>
      <c r="L21" s="12"/>
      <c r="M21" s="12"/>
      <c r="N21" s="13" t="s">
        <v>43</v>
      </c>
      <c r="O21" s="12" t="s">
        <v>44</v>
      </c>
      <c r="P21" s="12"/>
    </row>
    <row r="22" spans="1:16" ht="15" customHeight="1">
      <c r="A22" s="14" t="str">
        <f t="shared" si="0"/>
        <v>ACTRIS_ctrl_lists:aggregate</v>
      </c>
      <c r="B22" s="17" t="s">
        <v>45</v>
      </c>
      <c r="C22" s="17"/>
      <c r="D22" s="17"/>
      <c r="E22" s="16" t="s">
        <v>46</v>
      </c>
      <c r="F22" s="17"/>
      <c r="G22" s="17"/>
      <c r="H22" s="17"/>
      <c r="I22" s="17"/>
      <c r="J22" s="17"/>
      <c r="K22" s="17"/>
      <c r="L22" s="15"/>
      <c r="M22" s="15"/>
      <c r="N22" s="18" t="s">
        <v>43</v>
      </c>
      <c r="O22" s="17" t="s">
        <v>44</v>
      </c>
      <c r="P22" s="17"/>
    </row>
    <row r="23" spans="1:16" ht="15" customHeight="1">
      <c r="A23" s="14" t="str">
        <f t="shared" si="0"/>
        <v>ACTRIS_ctrl_lists:application</v>
      </c>
      <c r="B23" s="17" t="s">
        <v>47</v>
      </c>
      <c r="C23" s="17"/>
      <c r="D23" s="17"/>
      <c r="E23" s="16" t="s">
        <v>46</v>
      </c>
      <c r="F23" s="17"/>
      <c r="G23" s="17"/>
      <c r="H23" s="17"/>
      <c r="I23" s="17"/>
      <c r="J23" s="17"/>
      <c r="K23" s="17"/>
      <c r="L23" s="17"/>
      <c r="M23" s="17"/>
      <c r="N23" s="18" t="s">
        <v>43</v>
      </c>
      <c r="O23" s="17" t="s">
        <v>44</v>
      </c>
      <c r="P23" s="17"/>
    </row>
    <row r="24" spans="1:16" ht="15" customHeight="1">
      <c r="A24" s="14" t="str">
        <f t="shared" si="0"/>
        <v>ACTRIS_ctrl_lists:attribute</v>
      </c>
      <c r="B24" s="29" t="s">
        <v>48</v>
      </c>
      <c r="C24" s="30"/>
      <c r="D24" s="29"/>
      <c r="E24" s="16" t="s">
        <v>46</v>
      </c>
      <c r="F24" s="30"/>
      <c r="G24" s="30"/>
      <c r="H24" s="30"/>
      <c r="I24" s="17"/>
      <c r="J24" s="19"/>
      <c r="K24" s="17"/>
      <c r="L24" s="20"/>
      <c r="M24" s="21"/>
      <c r="N24" s="18" t="s">
        <v>43</v>
      </c>
      <c r="O24" s="17" t="s">
        <v>44</v>
      </c>
      <c r="P24" s="15"/>
    </row>
    <row r="25" spans="1:16" ht="15" customHeight="1">
      <c r="A25" s="14" t="str">
        <f t="shared" si="0"/>
        <v>ACTRIS_ctrl_lists:attributeType</v>
      </c>
      <c r="B25" s="29" t="s">
        <v>49</v>
      </c>
      <c r="C25" s="30"/>
      <c r="D25" s="29"/>
      <c r="E25" s="16" t="s">
        <v>46</v>
      </c>
      <c r="F25" s="30"/>
      <c r="G25" s="30"/>
      <c r="H25" s="30"/>
      <c r="I25" s="17"/>
      <c r="J25" s="19"/>
      <c r="K25" s="17"/>
      <c r="L25" s="20"/>
      <c r="M25" s="21"/>
      <c r="N25" s="18" t="s">
        <v>43</v>
      </c>
      <c r="O25" s="17" t="s">
        <v>44</v>
      </c>
      <c r="P25" s="15"/>
    </row>
    <row r="26" spans="1:16" ht="15" customHeight="1">
      <c r="A26" s="14" t="str">
        <f t="shared" si="0"/>
        <v>ACTRIS_ctrl_lists:collection</v>
      </c>
      <c r="B26" s="29" t="s">
        <v>50</v>
      </c>
      <c r="C26" s="30"/>
      <c r="D26" s="29"/>
      <c r="E26" s="16" t="s">
        <v>46</v>
      </c>
      <c r="F26" s="30"/>
      <c r="G26" s="30"/>
      <c r="H26" s="30"/>
      <c r="I26" s="17"/>
      <c r="J26" s="19"/>
      <c r="K26" s="17"/>
      <c r="L26" s="20"/>
      <c r="M26" s="21"/>
      <c r="N26" s="18" t="s">
        <v>43</v>
      </c>
      <c r="O26" s="17" t="s">
        <v>44</v>
      </c>
      <c r="P26" s="15"/>
    </row>
    <row r="27" spans="1:16" ht="15" customHeight="1">
      <c r="A27" s="14" t="str">
        <f t="shared" si="0"/>
        <v>ACTRIS_ctrl_lists:collectionHardware</v>
      </c>
      <c r="B27" s="17" t="s">
        <v>51</v>
      </c>
      <c r="C27" s="17"/>
      <c r="D27" s="29"/>
      <c r="E27" s="16" t="s">
        <v>46</v>
      </c>
      <c r="F27" s="17"/>
      <c r="G27" s="17"/>
      <c r="H27" s="17"/>
      <c r="I27" s="17"/>
      <c r="J27" s="17"/>
      <c r="K27" s="17"/>
      <c r="L27" s="15"/>
      <c r="M27" s="15"/>
      <c r="N27" s="18" t="s">
        <v>43</v>
      </c>
      <c r="O27" s="17" t="s">
        <v>44</v>
      </c>
      <c r="P27" s="17"/>
    </row>
    <row r="28" spans="1:16" ht="15" customHeight="1">
      <c r="A28" s="14" t="str">
        <f t="shared" si="0"/>
        <v>ACTRIS_ctrl_lists:collectionSession</v>
      </c>
      <c r="B28" s="17" t="s">
        <v>52</v>
      </c>
      <c r="C28" s="17"/>
      <c r="D28" s="17"/>
      <c r="E28" s="16" t="s">
        <v>46</v>
      </c>
      <c r="F28" s="17"/>
      <c r="G28" s="17"/>
      <c r="H28" s="17"/>
      <c r="I28" s="17"/>
      <c r="J28" s="17"/>
      <c r="K28" s="17"/>
      <c r="L28" s="15"/>
      <c r="M28" s="15"/>
      <c r="N28" s="18" t="s">
        <v>43</v>
      </c>
      <c r="O28" s="17" t="s">
        <v>44</v>
      </c>
      <c r="P28" s="17"/>
    </row>
    <row r="29" spans="1:16" ht="15" customHeight="1">
      <c r="A29" s="14" t="str">
        <f t="shared" si="0"/>
        <v>ACTRIS_ctrl_lists:coverage</v>
      </c>
      <c r="B29" s="17" t="s">
        <v>53</v>
      </c>
      <c r="C29" s="17"/>
      <c r="D29" s="17"/>
      <c r="E29" s="16" t="s">
        <v>46</v>
      </c>
      <c r="F29" s="17"/>
      <c r="G29" s="17"/>
      <c r="H29" s="17"/>
      <c r="I29" s="17"/>
      <c r="J29" s="17"/>
      <c r="K29" s="17"/>
      <c r="L29" s="15"/>
      <c r="M29" s="15"/>
      <c r="N29" s="18" t="s">
        <v>43</v>
      </c>
      <c r="O29" s="17" t="s">
        <v>44</v>
      </c>
      <c r="P29" s="17"/>
    </row>
    <row r="30" spans="1:16" ht="15" customHeight="1">
      <c r="A30" s="14" t="str">
        <f t="shared" si="0"/>
        <v>ACTRIS_ctrl_lists:dataset</v>
      </c>
      <c r="B30" s="17" t="s">
        <v>54</v>
      </c>
      <c r="C30" s="17"/>
      <c r="D30" s="17"/>
      <c r="E30" s="16" t="s">
        <v>46</v>
      </c>
      <c r="F30" s="17"/>
      <c r="G30" s="17"/>
      <c r="H30" s="17"/>
      <c r="I30" s="17"/>
      <c r="J30" s="17"/>
      <c r="K30" s="17"/>
      <c r="L30" s="15"/>
      <c r="M30" s="15"/>
      <c r="N30" s="18" t="s">
        <v>43</v>
      </c>
      <c r="O30" s="17" t="s">
        <v>44</v>
      </c>
      <c r="P30" s="17"/>
    </row>
    <row r="31" spans="1:16" ht="15" customHeight="1">
      <c r="A31" s="14" t="str">
        <f t="shared" si="0"/>
        <v>ACTRIS_ctrl_lists:dimensionGroup</v>
      </c>
      <c r="B31" s="17" t="s">
        <v>55</v>
      </c>
      <c r="C31" s="17"/>
      <c r="D31" s="17"/>
      <c r="E31" s="16" t="s">
        <v>46</v>
      </c>
      <c r="F31" s="17"/>
      <c r="G31" s="17"/>
      <c r="H31" s="17"/>
      <c r="I31" s="17"/>
      <c r="J31" s="17"/>
      <c r="K31" s="17"/>
      <c r="L31" s="15"/>
      <c r="M31" s="15"/>
      <c r="N31" s="18" t="s">
        <v>43</v>
      </c>
      <c r="O31" s="17" t="s">
        <v>44</v>
      </c>
      <c r="P31" s="17"/>
    </row>
    <row r="32" spans="1:16" ht="15" customHeight="1">
      <c r="A32" s="14" t="str">
        <f t="shared" si="0"/>
        <v>ACTRIS_ctrl_lists:document</v>
      </c>
      <c r="B32" s="17" t="s">
        <v>56</v>
      </c>
      <c r="C32" s="17"/>
      <c r="D32" s="17"/>
      <c r="E32" s="16" t="s">
        <v>46</v>
      </c>
      <c r="F32" s="17"/>
      <c r="G32" s="17"/>
      <c r="H32" s="17"/>
      <c r="I32" s="17"/>
      <c r="J32" s="17"/>
      <c r="K32" s="17"/>
      <c r="L32" s="15"/>
      <c r="M32" s="15"/>
      <c r="N32" s="18" t="s">
        <v>43</v>
      </c>
      <c r="O32" s="17" t="s">
        <v>44</v>
      </c>
      <c r="P32" s="17"/>
    </row>
    <row r="33" spans="1:16" ht="15" customHeight="1">
      <c r="A33" s="14" t="str">
        <f t="shared" si="0"/>
        <v>ACTRIS_ctrl_lists:feature</v>
      </c>
      <c r="B33" s="17" t="s">
        <v>57</v>
      </c>
      <c r="C33" s="17"/>
      <c r="D33" s="17"/>
      <c r="E33" s="16" t="s">
        <v>46</v>
      </c>
      <c r="F33" s="17"/>
      <c r="G33" s="17"/>
      <c r="H33" s="17"/>
      <c r="I33" s="17"/>
      <c r="J33" s="17"/>
      <c r="K33" s="17"/>
      <c r="L33" s="15"/>
      <c r="M33" s="15"/>
      <c r="N33" s="18" t="s">
        <v>43</v>
      </c>
      <c r="O33" s="17" t="s">
        <v>44</v>
      </c>
      <c r="P33" s="17"/>
    </row>
    <row r="34" spans="1:16" ht="17.25" customHeight="1">
      <c r="A34" s="14" t="str">
        <f t="shared" si="0"/>
        <v>ACTRIS_ctrl_lists:featureType</v>
      </c>
      <c r="B34" s="16" t="s">
        <v>58</v>
      </c>
      <c r="C34" s="17"/>
      <c r="D34" s="16"/>
      <c r="E34" s="16" t="s">
        <v>46</v>
      </c>
      <c r="F34" s="17"/>
      <c r="G34" s="17"/>
      <c r="H34" s="17"/>
      <c r="I34" s="17"/>
      <c r="J34" s="17"/>
      <c r="K34" s="17"/>
      <c r="L34" s="17"/>
      <c r="M34" s="17"/>
      <c r="N34" s="18" t="s">
        <v>43</v>
      </c>
      <c r="O34" s="17" t="s">
        <v>44</v>
      </c>
      <c r="P34" s="17"/>
    </row>
    <row r="35" spans="1:16" ht="17.25" customHeight="1">
      <c r="A35" s="14" t="str">
        <f t="shared" si="0"/>
        <v>ACTRIS_ctrl_lists:fieldSession</v>
      </c>
      <c r="B35" s="16" t="s">
        <v>59</v>
      </c>
      <c r="C35" s="17"/>
      <c r="D35" s="16"/>
      <c r="E35" s="16" t="s">
        <v>46</v>
      </c>
      <c r="F35" s="17"/>
      <c r="G35" s="17"/>
      <c r="H35" s="17"/>
      <c r="I35" s="17"/>
      <c r="J35" s="17"/>
      <c r="K35" s="17"/>
      <c r="L35" s="17"/>
      <c r="M35" s="17"/>
      <c r="N35" s="18" t="s">
        <v>43</v>
      </c>
      <c r="O35" s="17" t="s">
        <v>44</v>
      </c>
      <c r="P35" s="17"/>
    </row>
    <row r="36" spans="1:16" ht="17.25" customHeight="1">
      <c r="A36" s="14" t="str">
        <f t="shared" si="0"/>
        <v>ACTRIS_ctrl_lists:initiative</v>
      </c>
      <c r="B36" s="16" t="s">
        <v>60</v>
      </c>
      <c r="C36" s="17"/>
      <c r="D36" s="16"/>
      <c r="E36" s="16" t="s">
        <v>46</v>
      </c>
      <c r="F36" s="17"/>
      <c r="G36" s="17"/>
      <c r="H36" s="17"/>
      <c r="I36" s="17"/>
      <c r="J36" s="17"/>
      <c r="K36" s="17"/>
      <c r="L36" s="17"/>
      <c r="M36" s="17"/>
      <c r="N36" s="18" t="s">
        <v>43</v>
      </c>
      <c r="O36" s="17" t="s">
        <v>44</v>
      </c>
      <c r="P36" s="17"/>
    </row>
    <row r="37" spans="1:16" ht="17.25" customHeight="1">
      <c r="A37" s="14" t="str">
        <f t="shared" si="0"/>
        <v>ACTRIS_ctrl_lists:metadata</v>
      </c>
      <c r="B37" s="16" t="s">
        <v>61</v>
      </c>
      <c r="C37" s="17"/>
      <c r="D37" s="16"/>
      <c r="E37" s="16" t="s">
        <v>46</v>
      </c>
      <c r="F37" s="17"/>
      <c r="G37" s="17"/>
      <c r="H37" s="17"/>
      <c r="I37" s="17"/>
      <c r="J37" s="17"/>
      <c r="K37" s="17"/>
      <c r="L37" s="17"/>
      <c r="M37" s="17"/>
      <c r="N37" s="18" t="s">
        <v>43</v>
      </c>
      <c r="O37" s="17" t="s">
        <v>44</v>
      </c>
      <c r="P37" s="17"/>
    </row>
    <row r="38" spans="1:16" ht="17.25" customHeight="1">
      <c r="A38" s="14" t="str">
        <f t="shared" si="0"/>
        <v>ACTRIS_ctrl_lists:model</v>
      </c>
      <c r="B38" s="16" t="s">
        <v>62</v>
      </c>
      <c r="C38" s="17"/>
      <c r="D38" s="16"/>
      <c r="E38" s="16" t="s">
        <v>46</v>
      </c>
      <c r="F38" s="17"/>
      <c r="G38" s="17"/>
      <c r="H38" s="17"/>
      <c r="I38" s="17"/>
      <c r="J38" s="17"/>
      <c r="K38" s="17"/>
      <c r="L38" s="17"/>
      <c r="M38" s="17"/>
      <c r="N38" s="18" t="s">
        <v>43</v>
      </c>
      <c r="O38" s="17" t="s">
        <v>44</v>
      </c>
      <c r="P38" s="17"/>
    </row>
    <row r="39" spans="1:16" ht="17.25" customHeight="1">
      <c r="A39" s="14" t="str">
        <f t="shared" si="0"/>
        <v>ACTRIS_ctrl_lists:nonGeographicDataset</v>
      </c>
      <c r="B39" s="16" t="s">
        <v>63</v>
      </c>
      <c r="C39" s="17"/>
      <c r="D39" s="16"/>
      <c r="E39" s="16" t="s">
        <v>46</v>
      </c>
      <c r="F39" s="17"/>
      <c r="G39" s="17"/>
      <c r="H39" s="17"/>
      <c r="I39" s="17"/>
      <c r="J39" s="17"/>
      <c r="K39" s="17"/>
      <c r="L39" s="17"/>
      <c r="M39" s="17"/>
      <c r="N39" s="18" t="s">
        <v>43</v>
      </c>
      <c r="O39" s="17" t="s">
        <v>44</v>
      </c>
      <c r="P39" s="17"/>
    </row>
    <row r="40" spans="1:16" ht="17.25" customHeight="1">
      <c r="A40" s="14" t="str">
        <f t="shared" si="0"/>
        <v>ACTRIS_ctrl_lists:product</v>
      </c>
      <c r="B40" s="16" t="s">
        <v>64</v>
      </c>
      <c r="C40" s="17"/>
      <c r="D40" s="16"/>
      <c r="E40" s="16" t="s">
        <v>46</v>
      </c>
      <c r="F40" s="17"/>
      <c r="G40" s="17"/>
      <c r="H40" s="17"/>
      <c r="I40" s="17"/>
      <c r="J40" s="17"/>
      <c r="K40" s="17"/>
      <c r="L40" s="17"/>
      <c r="M40" s="17"/>
      <c r="N40" s="18" t="s">
        <v>43</v>
      </c>
      <c r="O40" s="17" t="s">
        <v>44</v>
      </c>
      <c r="P40" s="17"/>
    </row>
    <row r="41" spans="1:16" ht="17.25" customHeight="1">
      <c r="A41" s="14" t="str">
        <f t="shared" si="0"/>
        <v>ACTRIS_ctrl_lists:propertyType</v>
      </c>
      <c r="B41" s="16" t="s">
        <v>65</v>
      </c>
      <c r="C41" s="17"/>
      <c r="D41" s="16"/>
      <c r="E41" s="16" t="s">
        <v>46</v>
      </c>
      <c r="F41" s="17"/>
      <c r="G41" s="17"/>
      <c r="H41" s="17"/>
      <c r="I41" s="17"/>
      <c r="J41" s="17"/>
      <c r="K41" s="17"/>
      <c r="L41" s="17"/>
      <c r="M41" s="17"/>
      <c r="N41" s="18" t="s">
        <v>43</v>
      </c>
      <c r="O41" s="17" t="s">
        <v>44</v>
      </c>
      <c r="P41" s="17"/>
    </row>
    <row r="42" spans="1:16" ht="17.25" customHeight="1">
      <c r="A42" s="14" t="str">
        <f t="shared" si="0"/>
        <v>ACTRIS_ctrl_lists:repository</v>
      </c>
      <c r="B42" s="16" t="s">
        <v>66</v>
      </c>
      <c r="C42" s="17"/>
      <c r="D42" s="16"/>
      <c r="E42" s="16" t="s">
        <v>46</v>
      </c>
      <c r="F42" s="17"/>
      <c r="G42" s="17"/>
      <c r="H42" s="17"/>
      <c r="I42" s="17"/>
      <c r="J42" s="17"/>
      <c r="K42" s="17"/>
      <c r="L42" s="17"/>
      <c r="M42" s="17"/>
      <c r="N42" s="18" t="s">
        <v>43</v>
      </c>
      <c r="O42" s="17" t="s">
        <v>44</v>
      </c>
      <c r="P42" s="17"/>
    </row>
    <row r="43" spans="1:16" ht="17.25" customHeight="1">
      <c r="A43" s="14" t="str">
        <f t="shared" si="0"/>
        <v>ACTRIS_ctrl_lists:sample</v>
      </c>
      <c r="B43" s="16" t="s">
        <v>67</v>
      </c>
      <c r="C43" s="17"/>
      <c r="D43" s="16"/>
      <c r="E43" s="16" t="s">
        <v>46</v>
      </c>
      <c r="F43" s="17"/>
      <c r="G43" s="17"/>
      <c r="H43" s="17"/>
      <c r="I43" s="17"/>
      <c r="J43" s="17"/>
      <c r="K43" s="17"/>
      <c r="L43" s="17"/>
      <c r="M43" s="17"/>
      <c r="N43" s="18" t="s">
        <v>43</v>
      </c>
      <c r="O43" s="17" t="s">
        <v>44</v>
      </c>
      <c r="P43" s="17"/>
    </row>
    <row r="44" spans="1:16" ht="17.25" customHeight="1">
      <c r="A44" s="14" t="str">
        <f t="shared" si="0"/>
        <v>ACTRIS_ctrl_lists:series</v>
      </c>
      <c r="B44" s="16" t="s">
        <v>68</v>
      </c>
      <c r="C44" s="17"/>
      <c r="D44" s="16"/>
      <c r="E44" s="16" t="s">
        <v>46</v>
      </c>
      <c r="F44" s="17"/>
      <c r="G44" s="17"/>
      <c r="H44" s="17"/>
      <c r="I44" s="17"/>
      <c r="J44" s="17"/>
      <c r="K44" s="17"/>
      <c r="L44" s="17"/>
      <c r="M44" s="17"/>
      <c r="N44" s="18" t="s">
        <v>43</v>
      </c>
      <c r="O44" s="17" t="s">
        <v>44</v>
      </c>
      <c r="P44" s="17"/>
    </row>
    <row r="45" spans="1:16" ht="17.25" customHeight="1">
      <c r="A45" s="14" t="str">
        <f t="shared" si="0"/>
        <v>ACTRIS_ctrl_lists:service</v>
      </c>
      <c r="B45" s="16" t="s">
        <v>69</v>
      </c>
      <c r="C45" s="17"/>
      <c r="D45" s="16"/>
      <c r="E45" s="16" t="s">
        <v>46</v>
      </c>
      <c r="F45" s="17"/>
      <c r="G45" s="17"/>
      <c r="H45" s="17"/>
      <c r="I45" s="17"/>
      <c r="J45" s="17"/>
      <c r="K45" s="17"/>
      <c r="L45" s="17"/>
      <c r="M45" s="17"/>
      <c r="N45" s="18" t="s">
        <v>43</v>
      </c>
      <c r="O45" s="17" t="s">
        <v>44</v>
      </c>
      <c r="P45" s="17"/>
    </row>
    <row r="46" spans="1:16" ht="17.25" customHeight="1">
      <c r="A46" s="14" t="str">
        <f t="shared" si="0"/>
        <v>ACTRIS_ctrl_lists:software</v>
      </c>
      <c r="B46" s="16" t="s">
        <v>70</v>
      </c>
      <c r="C46" s="17"/>
      <c r="D46" s="16"/>
      <c r="E46" s="16" t="s">
        <v>46</v>
      </c>
      <c r="F46" s="17"/>
      <c r="G46" s="17"/>
      <c r="H46" s="17"/>
      <c r="I46" s="17"/>
      <c r="J46" s="17"/>
      <c r="K46" s="17"/>
      <c r="L46" s="17"/>
      <c r="M46" s="17"/>
      <c r="N46" s="18" t="s">
        <v>43</v>
      </c>
      <c r="O46" s="17" t="s">
        <v>44</v>
      </c>
      <c r="P46" s="17"/>
    </row>
    <row r="47" spans="1:16" ht="17.25" customHeight="1">
      <c r="A47" s="14" t="str">
        <f t="shared" si="0"/>
        <v>ACTRIS_ctrl_lists:tile</v>
      </c>
      <c r="B47" s="16" t="s">
        <v>71</v>
      </c>
      <c r="C47" s="17"/>
      <c r="D47" s="16"/>
      <c r="E47" s="16" t="s">
        <v>46</v>
      </c>
      <c r="F47" s="17"/>
      <c r="G47" s="17"/>
      <c r="H47" s="17"/>
      <c r="I47" s="17"/>
      <c r="J47" s="17"/>
      <c r="K47" s="17"/>
      <c r="L47" s="17"/>
      <c r="M47" s="17"/>
      <c r="N47" s="18" t="s">
        <v>43</v>
      </c>
      <c r="O47" s="17" t="s">
        <v>44</v>
      </c>
      <c r="P47" s="17"/>
    </row>
    <row r="48" spans="1:16" ht="17.25" customHeight="1">
      <c r="A48" s="14" t="str">
        <f t="shared" si="0"/>
        <v/>
      </c>
      <c r="B48" s="16"/>
      <c r="C48" s="17"/>
      <c r="D48" s="16"/>
      <c r="E48" s="16"/>
      <c r="F48" s="17"/>
      <c r="G48" s="17"/>
      <c r="H48" s="17"/>
      <c r="I48" s="17"/>
      <c r="J48" s="17"/>
      <c r="K48" s="17"/>
      <c r="L48" s="17"/>
      <c r="M48" s="17"/>
      <c r="N48" s="22"/>
      <c r="O48" s="17"/>
      <c r="P48" s="17"/>
    </row>
    <row r="49" spans="1:16" ht="17.25" customHeight="1">
      <c r="A49" s="14" t="str">
        <f t="shared" si="0"/>
        <v/>
      </c>
      <c r="B49" s="16"/>
      <c r="C49" s="17"/>
      <c r="D49" s="16"/>
      <c r="E49" s="16"/>
      <c r="F49" s="17"/>
      <c r="G49" s="17"/>
      <c r="H49" s="17"/>
      <c r="I49" s="17"/>
      <c r="J49" s="17"/>
      <c r="K49" s="17"/>
      <c r="L49" s="17"/>
      <c r="M49" s="17"/>
      <c r="N49" s="22"/>
      <c r="O49" s="17"/>
      <c r="P49" s="17"/>
    </row>
    <row r="50" spans="1:16" ht="15" customHeight="1">
      <c r="A50" s="11" t="str">
        <f t="shared" si="0"/>
        <v>ACTRIS_ctrl_lists:userroles</v>
      </c>
      <c r="B50" s="12" t="s">
        <v>72</v>
      </c>
      <c r="C50" s="12" t="s">
        <v>73</v>
      </c>
      <c r="D50" s="12" t="s">
        <v>74</v>
      </c>
      <c r="E50" s="12"/>
      <c r="F50" s="12"/>
      <c r="G50" s="12"/>
      <c r="H50" s="12"/>
      <c r="I50" s="12"/>
      <c r="J50" s="12"/>
      <c r="K50" s="12"/>
      <c r="L50" s="12"/>
      <c r="M50" s="12"/>
      <c r="N50" s="13" t="s">
        <v>43</v>
      </c>
      <c r="O50" s="12" t="s">
        <v>44</v>
      </c>
      <c r="P50" s="12"/>
    </row>
    <row r="51" spans="1:16" ht="17.25" customHeight="1">
      <c r="A51" s="14" t="str">
        <f t="shared" si="0"/>
        <v>ACTRIS_ctrl_lists:author</v>
      </c>
      <c r="B51" s="16" t="s">
        <v>75</v>
      </c>
      <c r="C51" s="17"/>
      <c r="D51" s="16" t="s">
        <v>76</v>
      </c>
      <c r="E51" s="16" t="s">
        <v>77</v>
      </c>
      <c r="F51" s="17"/>
      <c r="G51" s="17"/>
      <c r="H51" s="17"/>
      <c r="I51" s="17"/>
      <c r="J51" s="17"/>
      <c r="K51" s="17"/>
      <c r="L51" s="17"/>
      <c r="M51" s="17"/>
      <c r="N51" s="18" t="s">
        <v>43</v>
      </c>
      <c r="O51" s="17" t="s">
        <v>44</v>
      </c>
      <c r="P51" s="17"/>
    </row>
    <row r="52" spans="1:16" ht="17.25" customHeight="1">
      <c r="A52" s="14" t="str">
        <f t="shared" si="0"/>
        <v>ACTRIS_ctrl_lists:custodian</v>
      </c>
      <c r="B52" s="16" t="s">
        <v>78</v>
      </c>
      <c r="C52" s="17"/>
      <c r="D52" s="16" t="s">
        <v>79</v>
      </c>
      <c r="E52" s="16" t="s">
        <v>77</v>
      </c>
      <c r="F52" s="17"/>
      <c r="G52" s="17"/>
      <c r="H52" s="17"/>
      <c r="I52" s="17"/>
      <c r="J52" s="17"/>
      <c r="K52" s="17"/>
      <c r="L52" s="17"/>
      <c r="M52" s="17"/>
      <c r="N52" s="18" t="s">
        <v>43</v>
      </c>
      <c r="O52" s="17" t="s">
        <v>44</v>
      </c>
      <c r="P52" s="17"/>
    </row>
    <row r="53" spans="1:16" ht="17.25" customHeight="1">
      <c r="A53" s="14" t="str">
        <f t="shared" ref="A53:A102" si="1">IF(ISBLANK($B53),"",$B$2 &amp; ":" &amp; (SUBSTITUTE(SUBSTITUTE(SUBSTITUTE(SUBSTITUTE(SUBSTITUTE(SUBSTITUTE(SUBSTITUTE(SUBSTITUTE(SUBSTITUTE(B53," ",""),"/","Div"),",","-"),"(","-"),")",""),"+","plus"),"--","-")," ",""),"&amp;","-")))</f>
        <v>ACTRIS_ctrl_lists:distributor</v>
      </c>
      <c r="B53" s="16" t="s">
        <v>80</v>
      </c>
      <c r="C53" s="17"/>
      <c r="D53" s="16" t="s">
        <v>81</v>
      </c>
      <c r="E53" s="16" t="s">
        <v>77</v>
      </c>
      <c r="F53" s="17"/>
      <c r="G53" s="17"/>
      <c r="H53" s="17"/>
      <c r="I53" s="17"/>
      <c r="J53" s="17"/>
      <c r="K53" s="17"/>
      <c r="L53" s="17"/>
      <c r="M53" s="17"/>
      <c r="N53" s="18" t="s">
        <v>43</v>
      </c>
      <c r="O53" s="17" t="s">
        <v>44</v>
      </c>
      <c r="P53" s="17"/>
    </row>
    <row r="54" spans="1:16" ht="17.25" customHeight="1">
      <c r="A54" s="14" t="str">
        <f t="shared" si="1"/>
        <v>ACTRIS_ctrl_lists:originator</v>
      </c>
      <c r="B54" s="16" t="s">
        <v>82</v>
      </c>
      <c r="C54" s="17"/>
      <c r="D54" s="16" t="s">
        <v>83</v>
      </c>
      <c r="E54" s="16" t="s">
        <v>77</v>
      </c>
      <c r="F54" s="17"/>
      <c r="G54" s="17"/>
      <c r="H54" s="17"/>
      <c r="I54" s="17"/>
      <c r="J54" s="17"/>
      <c r="K54" s="17"/>
      <c r="L54" s="17"/>
      <c r="M54" s="17"/>
      <c r="N54" s="18" t="s">
        <v>43</v>
      </c>
      <c r="O54" s="17" t="s">
        <v>44</v>
      </c>
      <c r="P54" s="17"/>
    </row>
    <row r="55" spans="1:16" ht="17.25" customHeight="1">
      <c r="A55" s="14" t="str">
        <f t="shared" si="1"/>
        <v>ACTRIS_ctrl_lists:owner</v>
      </c>
      <c r="B55" s="16" t="s">
        <v>84</v>
      </c>
      <c r="C55" s="17"/>
      <c r="D55" s="16" t="s">
        <v>85</v>
      </c>
      <c r="E55" s="16" t="s">
        <v>77</v>
      </c>
      <c r="F55" s="17"/>
      <c r="G55" s="17"/>
      <c r="H55" s="17"/>
      <c r="I55" s="17"/>
      <c r="J55" s="17"/>
      <c r="K55" s="17"/>
      <c r="L55" s="17"/>
      <c r="M55" s="17"/>
      <c r="N55" s="18" t="s">
        <v>43</v>
      </c>
      <c r="O55" s="17" t="s">
        <v>44</v>
      </c>
      <c r="P55" s="17"/>
    </row>
    <row r="56" spans="1:16" ht="17.25" customHeight="1">
      <c r="A56" s="14" t="str">
        <f t="shared" si="1"/>
        <v>ACTRIS_ctrl_lists:pointOfContact</v>
      </c>
      <c r="B56" s="16" t="s">
        <v>86</v>
      </c>
      <c r="C56" s="17"/>
      <c r="D56" s="16" t="s">
        <v>87</v>
      </c>
      <c r="E56" s="16" t="s">
        <v>77</v>
      </c>
      <c r="F56" s="17"/>
      <c r="G56" s="17"/>
      <c r="H56" s="17"/>
      <c r="I56" s="17"/>
      <c r="J56" s="17"/>
      <c r="K56" s="17"/>
      <c r="L56" s="17"/>
      <c r="M56" s="17"/>
      <c r="N56" s="18" t="s">
        <v>43</v>
      </c>
      <c r="O56" s="17" t="s">
        <v>44</v>
      </c>
      <c r="P56" s="17"/>
    </row>
    <row r="57" spans="1:16" ht="17.25" customHeight="1">
      <c r="A57" s="14" t="str">
        <f t="shared" si="1"/>
        <v>ACTRIS_ctrl_lists:principalInvestigator</v>
      </c>
      <c r="B57" s="16" t="s">
        <v>88</v>
      </c>
      <c r="C57" s="17"/>
      <c r="D57" s="16" t="s">
        <v>89</v>
      </c>
      <c r="E57" s="16" t="s">
        <v>77</v>
      </c>
      <c r="F57" s="17"/>
      <c r="G57" s="17"/>
      <c r="H57" s="17"/>
      <c r="I57" s="17"/>
      <c r="J57" s="17"/>
      <c r="K57" s="17"/>
      <c r="L57" s="17"/>
      <c r="M57" s="17"/>
      <c r="N57" s="18" t="s">
        <v>43</v>
      </c>
      <c r="O57" s="17" t="s">
        <v>44</v>
      </c>
      <c r="P57" s="17"/>
    </row>
    <row r="58" spans="1:16" ht="17.25" customHeight="1">
      <c r="A58" s="14" t="str">
        <f t="shared" si="1"/>
        <v>ACTRIS_ctrl_lists:processor</v>
      </c>
      <c r="B58" s="16" t="s">
        <v>90</v>
      </c>
      <c r="C58" s="17"/>
      <c r="D58" s="16" t="s">
        <v>91</v>
      </c>
      <c r="E58" s="16" t="s">
        <v>77</v>
      </c>
      <c r="F58" s="17"/>
      <c r="G58" s="17"/>
      <c r="H58" s="17"/>
      <c r="I58" s="17"/>
      <c r="J58" s="17"/>
      <c r="K58" s="17"/>
      <c r="L58" s="17"/>
      <c r="M58" s="17"/>
      <c r="N58" s="18" t="s">
        <v>43</v>
      </c>
      <c r="O58" s="17" t="s">
        <v>44</v>
      </c>
      <c r="P58" s="17"/>
    </row>
    <row r="59" spans="1:16" ht="17.25" customHeight="1">
      <c r="A59" s="14" t="str">
        <f t="shared" si="1"/>
        <v>ACTRIS_ctrl_lists:publisher</v>
      </c>
      <c r="B59" s="16" t="s">
        <v>92</v>
      </c>
      <c r="C59" s="17"/>
      <c r="D59" s="16" t="s">
        <v>93</v>
      </c>
      <c r="E59" s="16" t="s">
        <v>77</v>
      </c>
      <c r="F59" s="17"/>
      <c r="G59" s="17"/>
      <c r="H59" s="17"/>
      <c r="I59" s="17"/>
      <c r="J59" s="17"/>
      <c r="K59" s="17"/>
      <c r="L59" s="17"/>
      <c r="M59" s="17"/>
      <c r="N59" s="18" t="s">
        <v>43</v>
      </c>
      <c r="O59" s="17" t="s">
        <v>44</v>
      </c>
      <c r="P59" s="17"/>
    </row>
    <row r="60" spans="1:16" ht="17.25" customHeight="1">
      <c r="A60" s="14" t="str">
        <f t="shared" si="1"/>
        <v>ACTRIS_ctrl_lists:resourceProvider</v>
      </c>
      <c r="B60" s="16" t="s">
        <v>94</v>
      </c>
      <c r="C60" s="17"/>
      <c r="D60" s="16" t="s">
        <v>95</v>
      </c>
      <c r="E60" s="16" t="s">
        <v>77</v>
      </c>
      <c r="F60" s="17"/>
      <c r="G60" s="17"/>
      <c r="H60" s="17"/>
      <c r="I60" s="17"/>
      <c r="J60" s="17"/>
      <c r="K60" s="17"/>
      <c r="L60" s="17"/>
      <c r="M60" s="17"/>
      <c r="N60" s="18" t="s">
        <v>43</v>
      </c>
      <c r="O60" s="17" t="s">
        <v>44</v>
      </c>
      <c r="P60" s="17"/>
    </row>
    <row r="61" spans="1:16" ht="17.25" customHeight="1">
      <c r="A61" s="14" t="str">
        <f t="shared" si="1"/>
        <v>ACTRIS_ctrl_lists:user</v>
      </c>
      <c r="B61" s="16" t="s">
        <v>96</v>
      </c>
      <c r="C61" s="17"/>
      <c r="D61" s="16" t="s">
        <v>97</v>
      </c>
      <c r="E61" s="16" t="s">
        <v>77</v>
      </c>
      <c r="F61" s="17"/>
      <c r="G61" s="17"/>
      <c r="H61" s="17"/>
      <c r="I61" s="17"/>
      <c r="J61" s="17"/>
      <c r="K61" s="17"/>
      <c r="L61" s="17"/>
      <c r="M61" s="17"/>
      <c r="N61" s="18" t="s">
        <v>43</v>
      </c>
      <c r="O61" s="17" t="s">
        <v>44</v>
      </c>
      <c r="P61" s="17"/>
    </row>
    <row r="62" spans="1:16" ht="17.25" customHeight="1">
      <c r="A62" s="14"/>
      <c r="B62" s="16"/>
      <c r="C62" s="17"/>
      <c r="D62" s="16"/>
      <c r="E62" s="16"/>
      <c r="F62" s="17"/>
      <c r="G62" s="17"/>
      <c r="H62" s="17"/>
      <c r="I62" s="17"/>
      <c r="J62" s="17"/>
      <c r="K62" s="17"/>
      <c r="L62" s="17"/>
      <c r="M62" s="17"/>
      <c r="N62" s="18"/>
      <c r="O62" s="17"/>
      <c r="P62" s="17"/>
    </row>
    <row r="63" spans="1:16" ht="15" customHeight="1">
      <c r="A63" s="11" t="str">
        <f t="shared" ref="A63:A65" si="2">IF(ISBLANK($B63),"",$B$2 &amp; ":" &amp; (SUBSTITUTE(SUBSTITUTE(SUBSTITUTE(SUBSTITUTE(SUBSTITUTE(SUBSTITUTE(SUBSTITUTE(SUBSTITUTE(SUBSTITUTE(B63," ",""),"/","Div"),",","-"),"(","-"),")",""),"+","plus"),"--","-")," ",""),"&amp;","-")))</f>
        <v>ACTRIS_ctrl_lists:identifier</v>
      </c>
      <c r="B63" s="12" t="s">
        <v>153</v>
      </c>
      <c r="C63" s="12"/>
      <c r="D63" s="12" t="s">
        <v>152</v>
      </c>
      <c r="E63" s="12"/>
      <c r="F63" s="12"/>
      <c r="G63" s="12"/>
      <c r="H63" s="12"/>
      <c r="I63" s="12"/>
      <c r="J63" s="12"/>
      <c r="K63" s="12"/>
      <c r="L63" s="12"/>
      <c r="M63" s="12"/>
      <c r="N63" s="13" t="s">
        <v>43</v>
      </c>
      <c r="O63" s="12"/>
      <c r="P63" s="12"/>
    </row>
    <row r="64" spans="1:16" ht="15" customHeight="1">
      <c r="A64" s="23" t="str">
        <f t="shared" si="2"/>
        <v>ACTRIS_ctrl_lists:identifiertype</v>
      </c>
      <c r="B64" s="24" t="s">
        <v>98</v>
      </c>
      <c r="C64" s="24" t="s">
        <v>99</v>
      </c>
      <c r="D64" s="24" t="s">
        <v>100</v>
      </c>
      <c r="E64" s="24" t="s">
        <v>154</v>
      </c>
      <c r="F64" s="24"/>
      <c r="G64" s="24"/>
      <c r="H64" s="24"/>
      <c r="I64" s="24"/>
      <c r="J64" s="24"/>
      <c r="K64" s="24"/>
      <c r="L64" s="24"/>
      <c r="M64" s="24"/>
      <c r="N64" s="25" t="s">
        <v>43</v>
      </c>
      <c r="O64" s="24" t="s">
        <v>44</v>
      </c>
      <c r="P64" s="24"/>
    </row>
    <row r="65" spans="1:16" ht="15" customHeight="1">
      <c r="A65" s="26" t="str">
        <f t="shared" si="2"/>
        <v>ACTRIS_ctrl_lists:DOI</v>
      </c>
      <c r="B65" s="27" t="s">
        <v>101</v>
      </c>
      <c r="C65" s="27" t="s">
        <v>102</v>
      </c>
      <c r="D65" s="27"/>
      <c r="E65" s="27" t="s">
        <v>103</v>
      </c>
      <c r="F65" s="27" t="s">
        <v>104</v>
      </c>
      <c r="G65" s="27"/>
      <c r="H65" s="27"/>
      <c r="I65" s="27"/>
      <c r="J65" s="27"/>
      <c r="K65" s="27"/>
      <c r="L65" s="27"/>
      <c r="M65" s="27"/>
      <c r="N65" s="28" t="s">
        <v>43</v>
      </c>
      <c r="O65" s="27" t="s">
        <v>44</v>
      </c>
      <c r="P65" s="27"/>
    </row>
    <row r="66" spans="1:16" ht="17.25" customHeight="1">
      <c r="A66" s="14" t="str">
        <f t="shared" si="1"/>
        <v>ACTRIS_ctrl_lists:submissionDOI</v>
      </c>
      <c r="B66" s="16" t="s">
        <v>137</v>
      </c>
      <c r="C66" s="17"/>
      <c r="D66" s="16" t="s">
        <v>141</v>
      </c>
      <c r="E66" s="16" t="s">
        <v>136</v>
      </c>
      <c r="F66" s="17"/>
      <c r="G66" s="17"/>
      <c r="H66" s="17"/>
      <c r="I66" s="17"/>
      <c r="J66" s="17"/>
      <c r="K66" s="17"/>
      <c r="L66" s="17"/>
      <c r="M66" s="17"/>
      <c r="N66" s="18" t="s">
        <v>43</v>
      </c>
      <c r="O66" s="17" t="s">
        <v>143</v>
      </c>
      <c r="P66" s="17"/>
    </row>
    <row r="67" spans="1:16" ht="17.25" customHeight="1">
      <c r="A67" s="14" t="str">
        <f t="shared" si="1"/>
        <v>ACTRIS_ctrl_lists:versionDOI</v>
      </c>
      <c r="B67" s="16" t="s">
        <v>138</v>
      </c>
      <c r="C67" s="17"/>
      <c r="D67" s="16" t="s">
        <v>144</v>
      </c>
      <c r="E67" s="16" t="s">
        <v>136</v>
      </c>
      <c r="F67" s="17"/>
      <c r="G67" s="17"/>
      <c r="H67" s="17"/>
      <c r="I67" s="17"/>
      <c r="J67" s="17"/>
      <c r="K67" s="17"/>
      <c r="L67" s="17"/>
      <c r="M67" s="17"/>
      <c r="N67" s="18" t="s">
        <v>43</v>
      </c>
      <c r="O67" s="17" t="s">
        <v>143</v>
      </c>
      <c r="P67" s="17"/>
    </row>
    <row r="68" spans="1:16" ht="17.25" customHeight="1">
      <c r="A68" s="14" t="str">
        <f t="shared" si="1"/>
        <v>ACTRIS_ctrl_lists:conceptDOI</v>
      </c>
      <c r="B68" s="16" t="s">
        <v>139</v>
      </c>
      <c r="C68" s="17"/>
      <c r="D68" s="16" t="s">
        <v>166</v>
      </c>
      <c r="E68" s="16" t="s">
        <v>136</v>
      </c>
      <c r="F68" s="17"/>
      <c r="G68" s="17"/>
      <c r="H68" s="17"/>
      <c r="I68" s="17"/>
      <c r="J68" s="17"/>
      <c r="K68" s="17"/>
      <c r="L68" s="17"/>
      <c r="M68" s="17"/>
      <c r="N68" s="18" t="s">
        <v>43</v>
      </c>
      <c r="O68" s="17" t="s">
        <v>143</v>
      </c>
      <c r="P68" s="17"/>
    </row>
    <row r="69" spans="1:16" ht="17.25" customHeight="1">
      <c r="A69" s="14" t="str">
        <f t="shared" si="1"/>
        <v>ACTRIS_ctrl_lists:collectionDOI</v>
      </c>
      <c r="B69" s="16" t="s">
        <v>140</v>
      </c>
      <c r="C69" s="17"/>
      <c r="D69" s="16" t="s">
        <v>142</v>
      </c>
      <c r="E69" s="16" t="s">
        <v>136</v>
      </c>
      <c r="F69" s="17"/>
      <c r="G69" s="17"/>
      <c r="H69" s="17"/>
      <c r="I69" s="17"/>
      <c r="J69" s="17"/>
      <c r="K69" s="17"/>
      <c r="L69" s="17"/>
      <c r="M69" s="17"/>
      <c r="N69" s="18" t="s">
        <v>43</v>
      </c>
      <c r="O69" s="17" t="s">
        <v>143</v>
      </c>
      <c r="P69" s="17"/>
    </row>
    <row r="70" spans="1:16" ht="17.25" customHeight="1">
      <c r="A70" s="14" t="str">
        <f t="shared" si="1"/>
        <v/>
      </c>
      <c r="B70" s="16"/>
      <c r="C70" s="17"/>
      <c r="D70" s="16"/>
      <c r="E70" s="16"/>
      <c r="F70" s="17"/>
      <c r="G70" s="17"/>
      <c r="H70" s="17"/>
      <c r="I70" s="17"/>
      <c r="J70" s="17"/>
      <c r="K70" s="17"/>
      <c r="L70" s="17"/>
      <c r="M70" s="17"/>
      <c r="N70" s="18"/>
      <c r="O70" s="17"/>
      <c r="P70" s="17"/>
    </row>
    <row r="71" spans="1:16" ht="17.25" customHeight="1">
      <c r="A71" s="14" t="str">
        <f t="shared" si="1"/>
        <v>ACTRIS_ctrl_lists:handle</v>
      </c>
      <c r="B71" s="16" t="s">
        <v>105</v>
      </c>
      <c r="C71" s="17"/>
      <c r="D71" s="16"/>
      <c r="E71" s="16" t="s">
        <v>103</v>
      </c>
      <c r="F71" s="17" t="s">
        <v>106</v>
      </c>
      <c r="G71" s="17"/>
      <c r="H71" s="17"/>
      <c r="I71" s="17"/>
      <c r="J71" s="17"/>
      <c r="K71" s="17"/>
      <c r="L71" s="17"/>
      <c r="M71" s="17"/>
      <c r="N71" s="18" t="s">
        <v>43</v>
      </c>
      <c r="O71" s="17" t="s">
        <v>44</v>
      </c>
      <c r="P71" s="17"/>
    </row>
    <row r="72" spans="1:16" ht="17.25" customHeight="1">
      <c r="A72" s="14" t="str">
        <f t="shared" si="1"/>
        <v>ACTRIS_ctrl_lists:ePIC</v>
      </c>
      <c r="B72" s="16" t="s">
        <v>107</v>
      </c>
      <c r="C72" s="17"/>
      <c r="D72" s="16"/>
      <c r="E72" s="16" t="s">
        <v>103</v>
      </c>
      <c r="F72" s="17" t="s">
        <v>108</v>
      </c>
      <c r="G72" s="17"/>
      <c r="H72" s="17"/>
      <c r="I72" s="17"/>
      <c r="J72" s="17"/>
      <c r="K72" s="17"/>
      <c r="L72" s="17"/>
      <c r="M72" s="17"/>
      <c r="N72" s="18" t="s">
        <v>43</v>
      </c>
      <c r="O72" s="17" t="s">
        <v>44</v>
      </c>
      <c r="P72" s="17"/>
    </row>
    <row r="73" spans="1:16" ht="17.25" customHeight="1">
      <c r="A73" s="14" t="str">
        <f t="shared" si="1"/>
        <v>ACTRIS_ctrl_lists:otherPID</v>
      </c>
      <c r="B73" s="17" t="s">
        <v>133</v>
      </c>
      <c r="C73" s="16" t="s">
        <v>132</v>
      </c>
      <c r="D73" s="16" t="s">
        <v>134</v>
      </c>
      <c r="E73" s="16" t="s">
        <v>103</v>
      </c>
      <c r="F73" s="17"/>
      <c r="G73" s="17"/>
      <c r="H73" s="17"/>
      <c r="I73" s="17"/>
      <c r="J73" s="17"/>
      <c r="K73" s="17"/>
      <c r="L73" s="17"/>
      <c r="M73" s="17"/>
      <c r="N73" s="18" t="s">
        <v>43</v>
      </c>
      <c r="O73" s="17"/>
      <c r="P73" s="17"/>
    </row>
    <row r="74" spans="1:16" ht="17.25" customHeight="1">
      <c r="A74" s="14" t="str">
        <f t="shared" si="1"/>
        <v>ACTRIS_ctrl_lists:ROR</v>
      </c>
      <c r="B74" s="17" t="s">
        <v>370</v>
      </c>
      <c r="C74" s="16" t="s">
        <v>371</v>
      </c>
      <c r="D74" s="16" t="s">
        <v>371</v>
      </c>
      <c r="E74" s="16" t="s">
        <v>103</v>
      </c>
      <c r="F74" s="17" t="s">
        <v>372</v>
      </c>
      <c r="G74" s="17"/>
      <c r="H74" s="17"/>
      <c r="I74" s="17"/>
      <c r="J74" s="17"/>
      <c r="K74" s="17"/>
      <c r="L74" s="17"/>
      <c r="M74" s="17"/>
      <c r="N74" s="18" t="s">
        <v>43</v>
      </c>
      <c r="O74" s="17"/>
      <c r="P74" s="17"/>
    </row>
    <row r="75" spans="1:16" ht="17.25" customHeight="1">
      <c r="A75" s="14" t="str">
        <f t="shared" si="1"/>
        <v>ACTRIS_ctrl_lists:ORCiD</v>
      </c>
      <c r="B75" s="17" t="s">
        <v>373</v>
      </c>
      <c r="C75" s="16" t="s">
        <v>375</v>
      </c>
      <c r="D75" s="16" t="s">
        <v>375</v>
      </c>
      <c r="E75" s="16" t="s">
        <v>103</v>
      </c>
      <c r="F75" s="17" t="s">
        <v>374</v>
      </c>
      <c r="G75" s="17"/>
      <c r="H75" s="17"/>
      <c r="I75" s="17"/>
      <c r="J75" s="17"/>
      <c r="K75" s="17"/>
      <c r="L75" s="17"/>
      <c r="M75" s="17"/>
      <c r="N75" s="18" t="s">
        <v>43</v>
      </c>
      <c r="O75" s="17"/>
      <c r="P75" s="17"/>
    </row>
    <row r="76" spans="1:16" ht="17.25" customHeight="1">
      <c r="A76" s="14" t="str">
        <f t="shared" si="1"/>
        <v/>
      </c>
      <c r="B76" s="17"/>
      <c r="C76" s="16"/>
      <c r="D76" s="16"/>
      <c r="E76" s="16"/>
      <c r="F76" s="17"/>
      <c r="G76" s="17"/>
      <c r="H76" s="17"/>
      <c r="I76" s="17"/>
      <c r="J76" s="17"/>
      <c r="K76" s="17"/>
      <c r="L76" s="17"/>
      <c r="M76" s="17"/>
      <c r="N76" s="18"/>
      <c r="O76" s="17"/>
      <c r="P76" s="17"/>
    </row>
    <row r="77" spans="1:16" ht="17.25" customHeight="1">
      <c r="A77" s="14" t="str">
        <f t="shared" si="1"/>
        <v/>
      </c>
      <c r="B77" s="17"/>
      <c r="C77" s="16"/>
      <c r="D77" s="16"/>
      <c r="E77" s="16"/>
      <c r="F77" s="17"/>
      <c r="G77" s="17"/>
      <c r="H77" s="17"/>
      <c r="I77" s="17"/>
      <c r="J77" s="17"/>
      <c r="K77" s="17"/>
      <c r="L77" s="17"/>
      <c r="M77" s="17"/>
      <c r="N77" s="18"/>
      <c r="O77" s="17"/>
      <c r="P77" s="17"/>
    </row>
    <row r="78" spans="1:16" ht="15" customHeight="1">
      <c r="A78" s="23" t="str">
        <f t="shared" ref="A78:A82" si="3">IF(ISBLANK($B78),"",$B$2 &amp; ":" &amp; (SUBSTITUTE(SUBSTITUTE(SUBSTITUTE(SUBSTITUTE(SUBSTITUTE(SUBSTITUTE(SUBSTITUTE(SUBSTITUTE(SUBSTITUTE(B78," ",""),"/","Div"),",","-"),"(","-"),")",""),"+","plus"),"--","-")," ",""),"&amp;","-")))</f>
        <v>ACTRIS_ctrl_lists:identifieruse</v>
      </c>
      <c r="B78" s="24" t="s">
        <v>155</v>
      </c>
      <c r="C78" s="24"/>
      <c r="D78" s="24" t="s">
        <v>156</v>
      </c>
      <c r="E78" s="24" t="s">
        <v>154</v>
      </c>
      <c r="F78" s="24"/>
      <c r="G78" s="24"/>
      <c r="H78" s="24"/>
      <c r="I78" s="24"/>
      <c r="J78" s="24"/>
      <c r="K78" s="24"/>
      <c r="L78" s="24"/>
      <c r="M78" s="24"/>
      <c r="N78" s="25" t="s">
        <v>43</v>
      </c>
      <c r="O78" s="24" t="s">
        <v>44</v>
      </c>
      <c r="P78" s="24"/>
    </row>
    <row r="79" spans="1:16" ht="17.25" customHeight="1">
      <c r="A79" s="14" t="str">
        <f t="shared" si="3"/>
        <v>ACTRIS_ctrl_lists:submissionPID</v>
      </c>
      <c r="B79" s="17" t="s">
        <v>157</v>
      </c>
      <c r="C79" s="16"/>
      <c r="D79" s="16" t="s">
        <v>162</v>
      </c>
      <c r="E79" s="16" t="s">
        <v>161</v>
      </c>
      <c r="F79" s="17"/>
      <c r="G79" s="17"/>
      <c r="H79" s="17"/>
      <c r="I79" s="17"/>
      <c r="J79" s="17"/>
      <c r="K79" s="17"/>
      <c r="L79" s="17"/>
      <c r="M79" s="17"/>
      <c r="N79" s="18"/>
      <c r="O79" s="17"/>
      <c r="P79" s="17"/>
    </row>
    <row r="80" spans="1:16" ht="17.25" customHeight="1">
      <c r="A80" s="14" t="str">
        <f t="shared" si="3"/>
        <v>ACTRIS_ctrl_lists:versionPID</v>
      </c>
      <c r="B80" s="17" t="s">
        <v>158</v>
      </c>
      <c r="C80" s="16"/>
      <c r="D80" s="16" t="s">
        <v>163</v>
      </c>
      <c r="E80" s="16" t="s">
        <v>161</v>
      </c>
      <c r="F80" s="17"/>
      <c r="G80" s="17"/>
      <c r="H80" s="17"/>
      <c r="I80" s="17"/>
      <c r="J80" s="17"/>
      <c r="K80" s="17"/>
      <c r="L80" s="17"/>
      <c r="M80" s="17"/>
      <c r="N80" s="18"/>
      <c r="O80" s="17"/>
      <c r="P80" s="17"/>
    </row>
    <row r="81" spans="1:16" ht="17.25" customHeight="1">
      <c r="A81" s="14" t="str">
        <f t="shared" si="3"/>
        <v>ACTRIS_ctrl_lists:conceptPID</v>
      </c>
      <c r="B81" s="17" t="s">
        <v>159</v>
      </c>
      <c r="C81" s="16"/>
      <c r="D81" s="16" t="s">
        <v>164</v>
      </c>
      <c r="E81" s="16" t="s">
        <v>161</v>
      </c>
      <c r="F81" s="17"/>
      <c r="G81" s="17"/>
      <c r="H81" s="17"/>
      <c r="I81" s="17"/>
      <c r="J81" s="17"/>
      <c r="K81" s="17"/>
      <c r="L81" s="17"/>
      <c r="M81" s="17"/>
      <c r="N81" s="18"/>
      <c r="O81" s="17"/>
      <c r="P81" s="17"/>
    </row>
    <row r="82" spans="1:16" ht="17.25" customHeight="1">
      <c r="A82" s="14" t="str">
        <f t="shared" si="3"/>
        <v>ACTRIS_ctrl_lists:collectionPID</v>
      </c>
      <c r="B82" s="17" t="s">
        <v>160</v>
      </c>
      <c r="C82" s="16"/>
      <c r="D82" s="16" t="s">
        <v>165</v>
      </c>
      <c r="E82" s="16" t="s">
        <v>161</v>
      </c>
      <c r="F82" s="17"/>
      <c r="G82" s="17"/>
      <c r="H82" s="17"/>
      <c r="I82" s="17"/>
      <c r="J82" s="17"/>
      <c r="K82" s="17"/>
      <c r="L82" s="17"/>
      <c r="M82" s="17"/>
      <c r="N82" s="18"/>
      <c r="O82" s="17"/>
      <c r="P82" s="17"/>
    </row>
    <row r="83" spans="1:16" ht="17.25" customHeight="1">
      <c r="A83" s="14"/>
      <c r="B83" s="17"/>
      <c r="C83" s="16"/>
      <c r="D83" s="16"/>
      <c r="E83" s="16"/>
      <c r="F83" s="17"/>
      <c r="G83" s="17"/>
      <c r="H83" s="17"/>
      <c r="I83" s="17"/>
      <c r="J83" s="17"/>
      <c r="K83" s="17"/>
      <c r="L83" s="17"/>
      <c r="M83" s="17"/>
      <c r="N83" s="18"/>
      <c r="O83" s="17"/>
      <c r="P83" s="17"/>
    </row>
    <row r="84" spans="1:16" ht="17.25" customHeight="1">
      <c r="A84" s="14" t="str">
        <f t="shared" si="1"/>
        <v/>
      </c>
      <c r="B84" s="16"/>
      <c r="C84" s="17"/>
      <c r="D84" s="16"/>
      <c r="E84" s="16"/>
      <c r="F84" s="17"/>
      <c r="G84" s="17"/>
      <c r="H84" s="17"/>
      <c r="I84" s="17"/>
      <c r="J84" s="17"/>
      <c r="K84" s="17"/>
      <c r="L84" s="17"/>
      <c r="M84" s="17"/>
      <c r="N84" s="22"/>
      <c r="O84" s="17"/>
      <c r="P84" s="17"/>
    </row>
    <row r="85" spans="1:16" ht="15" customHeight="1">
      <c r="A85" s="11" t="str">
        <f t="shared" si="1"/>
        <v>ACTRIS_ctrl_lists:framework</v>
      </c>
      <c r="B85" s="12" t="s">
        <v>109</v>
      </c>
      <c r="C85" s="12" t="s">
        <v>110</v>
      </c>
      <c r="D85" s="12" t="s">
        <v>111</v>
      </c>
      <c r="E85" s="12"/>
      <c r="F85" s="12"/>
      <c r="G85" s="12"/>
      <c r="H85" s="12"/>
      <c r="I85" s="12"/>
      <c r="J85" s="12"/>
      <c r="K85" s="12"/>
      <c r="L85" s="12"/>
      <c r="M85" s="12"/>
      <c r="N85" s="13" t="s">
        <v>43</v>
      </c>
      <c r="O85" s="12" t="s">
        <v>44</v>
      </c>
      <c r="P85" s="12"/>
    </row>
    <row r="86" spans="1:16" ht="16.5" customHeight="1">
      <c r="A86" s="14" t="str">
        <f t="shared" si="1"/>
        <v>ACTRIS_ctrl_lists:ACTRIS</v>
      </c>
      <c r="B86" s="16" t="s">
        <v>112</v>
      </c>
      <c r="C86" s="17"/>
      <c r="D86" s="16"/>
      <c r="E86" s="16" t="s">
        <v>113</v>
      </c>
      <c r="F86" s="17"/>
      <c r="G86" s="17"/>
      <c r="H86" s="17"/>
      <c r="I86" s="17"/>
      <c r="J86" s="17"/>
      <c r="K86" s="17"/>
      <c r="L86" s="17"/>
      <c r="M86" s="17"/>
      <c r="N86" s="18" t="s">
        <v>43</v>
      </c>
      <c r="O86" s="17" t="s">
        <v>44</v>
      </c>
      <c r="P86" s="17"/>
    </row>
    <row r="87" spans="1:16" ht="16.5" customHeight="1">
      <c r="A87" s="14" t="str">
        <f t="shared" si="1"/>
        <v>ACTRIS_ctrl_lists:AMAP</v>
      </c>
      <c r="B87" s="16" t="s">
        <v>114</v>
      </c>
      <c r="C87" s="17"/>
      <c r="D87" s="16"/>
      <c r="E87" s="16" t="s">
        <v>113</v>
      </c>
      <c r="F87" s="17"/>
      <c r="G87" s="17"/>
      <c r="H87" s="17"/>
      <c r="I87" s="17"/>
      <c r="J87" s="17"/>
      <c r="K87" s="17"/>
      <c r="L87" s="17"/>
      <c r="M87" s="17"/>
      <c r="N87" s="18" t="s">
        <v>43</v>
      </c>
      <c r="O87" s="17" t="s">
        <v>44</v>
      </c>
      <c r="P87" s="17"/>
    </row>
    <row r="88" spans="1:16" ht="16.5" customHeight="1">
      <c r="A88" s="14" t="str">
        <f t="shared" si="1"/>
        <v>ACTRIS_ctrl_lists:ARM</v>
      </c>
      <c r="B88" s="16" t="s">
        <v>115</v>
      </c>
      <c r="C88" s="17"/>
      <c r="D88" s="16"/>
      <c r="E88" s="16" t="s">
        <v>113</v>
      </c>
      <c r="F88" s="17"/>
      <c r="G88" s="17"/>
      <c r="H88" s="17"/>
      <c r="I88" s="17"/>
      <c r="J88" s="17"/>
      <c r="K88" s="17"/>
      <c r="L88" s="17"/>
      <c r="M88" s="17"/>
      <c r="N88" s="18" t="s">
        <v>43</v>
      </c>
      <c r="O88" s="17" t="s">
        <v>44</v>
      </c>
      <c r="P88" s="17"/>
    </row>
    <row r="89" spans="1:16" ht="16.5" customHeight="1">
      <c r="A89" s="14" t="str">
        <f t="shared" si="1"/>
        <v>ACTRIS_ctrl_lists:ATMO-ACCESS</v>
      </c>
      <c r="B89" s="16" t="s">
        <v>232</v>
      </c>
      <c r="C89" s="17"/>
      <c r="D89" s="16"/>
      <c r="E89" s="16" t="s">
        <v>113</v>
      </c>
      <c r="F89" s="17"/>
      <c r="G89" s="17"/>
      <c r="H89" s="17"/>
      <c r="I89" s="17"/>
      <c r="J89" s="17"/>
      <c r="K89" s="17"/>
      <c r="L89" s="17"/>
      <c r="M89" s="17"/>
      <c r="N89" s="18"/>
      <c r="O89" s="17"/>
      <c r="P89" s="17"/>
    </row>
    <row r="90" spans="1:16" ht="16.5" customHeight="1">
      <c r="A90" s="14" t="str">
        <f t="shared" si="1"/>
        <v>ACTRIS_ctrl_lists:CAMP</v>
      </c>
      <c r="B90" s="16" t="s">
        <v>116</v>
      </c>
      <c r="C90" s="17"/>
      <c r="D90" s="16"/>
      <c r="E90" s="16" t="s">
        <v>113</v>
      </c>
      <c r="F90" s="17"/>
      <c r="G90" s="17"/>
      <c r="H90" s="17"/>
      <c r="I90" s="17"/>
      <c r="J90" s="17"/>
      <c r="K90" s="17"/>
      <c r="L90" s="17"/>
      <c r="M90" s="17"/>
      <c r="N90" s="18" t="s">
        <v>43</v>
      </c>
      <c r="O90" s="17" t="s">
        <v>44</v>
      </c>
      <c r="P90" s="17"/>
    </row>
    <row r="91" spans="1:16" ht="16.5" customHeight="1">
      <c r="A91" s="14" t="str">
        <f t="shared" si="1"/>
        <v>ACTRIS_ctrl_lists:CLOUDNET</v>
      </c>
      <c r="B91" s="16" t="s">
        <v>117</v>
      </c>
      <c r="C91" s="17"/>
      <c r="D91" s="16"/>
      <c r="E91" s="16" t="s">
        <v>113</v>
      </c>
      <c r="F91" s="17"/>
      <c r="G91" s="17"/>
      <c r="H91" s="17"/>
      <c r="I91" s="17"/>
      <c r="J91" s="17"/>
      <c r="K91" s="17"/>
      <c r="L91" s="17"/>
      <c r="M91" s="17"/>
      <c r="N91" s="18" t="s">
        <v>43</v>
      </c>
      <c r="O91" s="17" t="s">
        <v>44</v>
      </c>
      <c r="P91" s="17"/>
    </row>
    <row r="92" spans="1:16" ht="16.5" customHeight="1">
      <c r="A92" s="14" t="str">
        <f t="shared" si="1"/>
        <v>ACTRIS_ctrl_lists:CREATE</v>
      </c>
      <c r="B92" s="16" t="s">
        <v>118</v>
      </c>
      <c r="C92" s="17"/>
      <c r="D92" s="16"/>
      <c r="E92" s="16" t="s">
        <v>113</v>
      </c>
      <c r="F92" s="17"/>
      <c r="G92" s="17"/>
      <c r="H92" s="17"/>
      <c r="I92" s="17"/>
      <c r="J92" s="17"/>
      <c r="K92" s="17"/>
      <c r="L92" s="17"/>
      <c r="M92" s="17"/>
      <c r="N92" s="18" t="s">
        <v>43</v>
      </c>
      <c r="O92" s="17" t="s">
        <v>44</v>
      </c>
      <c r="P92" s="17"/>
    </row>
    <row r="93" spans="1:16" ht="16.5" customHeight="1">
      <c r="A93" s="14" t="str">
        <f t="shared" si="1"/>
        <v>ACTRIS_ctrl_lists:EARLINET</v>
      </c>
      <c r="B93" s="16" t="s">
        <v>119</v>
      </c>
      <c r="C93" s="17"/>
      <c r="D93" s="16"/>
      <c r="E93" s="16" t="s">
        <v>113</v>
      </c>
      <c r="F93" s="17"/>
      <c r="G93" s="17"/>
      <c r="H93" s="17"/>
      <c r="I93" s="17"/>
      <c r="J93" s="17"/>
      <c r="K93" s="17"/>
      <c r="L93" s="17"/>
      <c r="M93" s="17"/>
      <c r="N93" s="18" t="s">
        <v>43</v>
      </c>
      <c r="O93" s="17" t="s">
        <v>44</v>
      </c>
      <c r="P93" s="17"/>
    </row>
    <row r="94" spans="1:16" ht="16.5" customHeight="1">
      <c r="A94" s="14" t="str">
        <f t="shared" si="1"/>
        <v>ACTRIS_ctrl_lists:EMEP</v>
      </c>
      <c r="B94" s="16" t="s">
        <v>120</v>
      </c>
      <c r="C94" s="17"/>
      <c r="D94" s="16"/>
      <c r="E94" s="16" t="s">
        <v>113</v>
      </c>
      <c r="F94" s="17"/>
      <c r="G94" s="17"/>
      <c r="H94" s="17"/>
      <c r="I94" s="17"/>
      <c r="J94" s="17"/>
      <c r="K94" s="17"/>
      <c r="L94" s="17"/>
      <c r="M94" s="17"/>
      <c r="N94" s="18" t="s">
        <v>43</v>
      </c>
      <c r="O94" s="17" t="s">
        <v>44</v>
      </c>
      <c r="P94" s="17"/>
    </row>
    <row r="95" spans="1:16" ht="16.5" customHeight="1">
      <c r="A95" s="14" t="str">
        <f t="shared" si="1"/>
        <v>ACTRIS_ctrl_lists:EUROCHAMP</v>
      </c>
      <c r="B95" s="16" t="s">
        <v>121</v>
      </c>
      <c r="C95" s="17"/>
      <c r="D95" s="16"/>
      <c r="E95" s="16" t="s">
        <v>113</v>
      </c>
      <c r="F95" s="17"/>
      <c r="G95" s="17"/>
      <c r="H95" s="17"/>
      <c r="I95" s="17"/>
      <c r="J95" s="17"/>
      <c r="K95" s="17"/>
      <c r="L95" s="17"/>
      <c r="M95" s="17"/>
      <c r="N95" s="18" t="s">
        <v>43</v>
      </c>
      <c r="O95" s="17" t="s">
        <v>44</v>
      </c>
      <c r="P95" s="17"/>
    </row>
    <row r="96" spans="1:16" ht="16.5" customHeight="1">
      <c r="A96" s="14" t="str">
        <f t="shared" si="1"/>
        <v>ACTRIS_ctrl_lists:EUSAAR</v>
      </c>
      <c r="B96" s="16" t="s">
        <v>122</v>
      </c>
      <c r="C96" s="17"/>
      <c r="D96" s="16"/>
      <c r="E96" s="16" t="s">
        <v>113</v>
      </c>
      <c r="F96" s="17"/>
      <c r="G96" s="17"/>
      <c r="H96" s="17"/>
      <c r="I96" s="17"/>
      <c r="J96" s="17"/>
      <c r="K96" s="17"/>
      <c r="L96" s="17"/>
      <c r="M96" s="17"/>
      <c r="N96" s="18" t="s">
        <v>43</v>
      </c>
      <c r="O96" s="17" t="s">
        <v>44</v>
      </c>
      <c r="P96" s="17"/>
    </row>
    <row r="97" spans="1:16" ht="16.5" customHeight="1">
      <c r="A97" s="14" t="str">
        <f t="shared" si="1"/>
        <v>ACTRIS_ctrl_lists:GAW-WDCA</v>
      </c>
      <c r="B97" s="16" t="s">
        <v>123</v>
      </c>
      <c r="C97" s="17"/>
      <c r="D97" s="16"/>
      <c r="E97" s="16" t="s">
        <v>113</v>
      </c>
      <c r="F97" s="17"/>
      <c r="G97" s="17"/>
      <c r="H97" s="17"/>
      <c r="I97" s="17"/>
      <c r="J97" s="17"/>
      <c r="K97" s="17"/>
      <c r="L97" s="17"/>
      <c r="M97" s="17"/>
      <c r="N97" s="18" t="s">
        <v>43</v>
      </c>
      <c r="O97" s="17" t="s">
        <v>44</v>
      </c>
      <c r="P97" s="17"/>
    </row>
    <row r="98" spans="1:16" ht="16.5" customHeight="1">
      <c r="A98" s="14" t="str">
        <f t="shared" si="1"/>
        <v>ACTRIS_ctrl_lists:GAW-WDCRG</v>
      </c>
      <c r="B98" s="16" t="s">
        <v>124</v>
      </c>
      <c r="C98" s="17"/>
      <c r="D98" s="16"/>
      <c r="E98" s="16" t="s">
        <v>113</v>
      </c>
      <c r="F98" s="17"/>
      <c r="G98" s="17"/>
      <c r="H98" s="17"/>
      <c r="I98" s="17"/>
      <c r="J98" s="17"/>
      <c r="K98" s="17"/>
      <c r="L98" s="17"/>
      <c r="M98" s="17"/>
      <c r="N98" s="18" t="s">
        <v>43</v>
      </c>
      <c r="O98" s="17" t="s">
        <v>44</v>
      </c>
      <c r="P98" s="17"/>
    </row>
    <row r="99" spans="1:16" ht="16.5" customHeight="1">
      <c r="A99" s="14" t="str">
        <f t="shared" si="1"/>
        <v>ACTRIS_ctrl_lists:GUAN</v>
      </c>
      <c r="B99" s="16" t="s">
        <v>125</v>
      </c>
      <c r="C99" s="17"/>
      <c r="D99" s="16"/>
      <c r="E99" s="16" t="s">
        <v>113</v>
      </c>
      <c r="F99" s="17"/>
      <c r="G99" s="17"/>
      <c r="H99" s="17"/>
      <c r="I99" s="17"/>
      <c r="J99" s="17"/>
      <c r="K99" s="17"/>
      <c r="L99" s="17"/>
      <c r="M99" s="17"/>
      <c r="N99" s="18" t="s">
        <v>43</v>
      </c>
      <c r="O99" s="17" t="s">
        <v>44</v>
      </c>
      <c r="P99" s="17"/>
    </row>
    <row r="100" spans="1:16" ht="16.5" customHeight="1">
      <c r="A100" s="14" t="str">
        <f t="shared" si="1"/>
        <v>ACTRIS_ctrl_lists:HELCOM</v>
      </c>
      <c r="B100" s="16" t="s">
        <v>126</v>
      </c>
      <c r="C100" s="17"/>
      <c r="D100" s="16"/>
      <c r="E100" s="16" t="s">
        <v>113</v>
      </c>
      <c r="F100" s="17"/>
      <c r="G100" s="17"/>
      <c r="H100" s="17"/>
      <c r="I100" s="17"/>
      <c r="J100" s="17"/>
      <c r="K100" s="17"/>
      <c r="L100" s="17"/>
      <c r="M100" s="17"/>
      <c r="N100" s="18" t="s">
        <v>43</v>
      </c>
      <c r="O100" s="17" t="s">
        <v>44</v>
      </c>
      <c r="P100" s="17"/>
    </row>
    <row r="101" spans="1:16" ht="16.5" customHeight="1">
      <c r="A101" s="14" t="str">
        <f t="shared" si="1"/>
        <v>ACTRIS_ctrl_lists:NDACC</v>
      </c>
      <c r="B101" s="16" t="s">
        <v>127</v>
      </c>
      <c r="C101" s="17"/>
      <c r="D101" s="16"/>
      <c r="E101" s="16" t="s">
        <v>113</v>
      </c>
      <c r="F101" s="17"/>
      <c r="G101" s="17"/>
      <c r="H101" s="17"/>
      <c r="I101" s="17"/>
      <c r="J101" s="17"/>
      <c r="K101" s="17"/>
      <c r="L101" s="17"/>
      <c r="M101" s="17"/>
      <c r="N101" s="18" t="s">
        <v>43</v>
      </c>
      <c r="O101" s="17" t="s">
        <v>44</v>
      </c>
      <c r="P101" s="17"/>
    </row>
    <row r="102" spans="1:16" ht="16.5" customHeight="1">
      <c r="A102" s="14" t="str">
        <f t="shared" si="1"/>
        <v>ACTRIS_ctrl_lists:NILU</v>
      </c>
      <c r="B102" s="16" t="s">
        <v>128</v>
      </c>
      <c r="C102" s="17"/>
      <c r="D102" s="16"/>
      <c r="E102" s="16" t="s">
        <v>113</v>
      </c>
      <c r="F102" s="17"/>
      <c r="G102" s="17"/>
      <c r="H102" s="17"/>
      <c r="I102" s="17"/>
      <c r="J102" s="17"/>
      <c r="K102" s="17"/>
      <c r="L102" s="17"/>
      <c r="M102" s="17"/>
      <c r="N102" s="18" t="s">
        <v>43</v>
      </c>
      <c r="O102" s="17" t="s">
        <v>44</v>
      </c>
      <c r="P102" s="17"/>
    </row>
    <row r="103" spans="1:16" ht="17.25" customHeight="1">
      <c r="A103" s="14" t="str">
        <f t="shared" ref="A103:A187" si="4">IF(ISBLANK($B103),"",$B$2 &amp; ":" &amp; (SUBSTITUTE(SUBSTITUTE(SUBSTITUTE(SUBSTITUTE(SUBSTITUTE(SUBSTITUTE(SUBSTITUTE(SUBSTITUTE(SUBSTITUTE(B103," ",""),"/","Div"),",","-"),"(","-"),")",""),"+","plus"),"--","-")," ",""),"&amp;","-")))</f>
        <v>ACTRIS_ctrl_lists:NOAA-ESRL</v>
      </c>
      <c r="B103" s="16" t="s">
        <v>129</v>
      </c>
      <c r="C103" s="17"/>
      <c r="D103" s="16"/>
      <c r="E103" s="16" t="s">
        <v>113</v>
      </c>
      <c r="F103" s="17"/>
      <c r="G103" s="17"/>
      <c r="H103" s="17"/>
      <c r="I103" s="17"/>
      <c r="J103" s="17"/>
      <c r="K103" s="17"/>
      <c r="L103" s="17"/>
      <c r="M103" s="17"/>
      <c r="N103" s="18" t="s">
        <v>43</v>
      </c>
      <c r="O103" s="17" t="s">
        <v>44</v>
      </c>
      <c r="P103" s="17"/>
    </row>
    <row r="104" spans="1:16" ht="17.25" customHeight="1">
      <c r="A104" s="14" t="str">
        <f t="shared" si="4"/>
        <v>ACTRIS_ctrl_lists:GALION</v>
      </c>
      <c r="B104" s="16" t="s">
        <v>130</v>
      </c>
      <c r="C104" s="17"/>
      <c r="D104" s="16"/>
      <c r="E104" s="16" t="s">
        <v>113</v>
      </c>
      <c r="F104" s="17"/>
      <c r="G104" s="17"/>
      <c r="H104" s="17"/>
      <c r="I104" s="17"/>
      <c r="J104" s="17"/>
      <c r="K104" s="17"/>
      <c r="L104" s="17"/>
      <c r="M104" s="17"/>
      <c r="N104" s="18" t="s">
        <v>43</v>
      </c>
      <c r="O104" s="17"/>
      <c r="P104" s="17"/>
    </row>
    <row r="105" spans="1:16" ht="17.25" customHeight="1">
      <c r="A105" s="14" t="str">
        <f t="shared" si="4"/>
        <v>ACTRIS_ctrl_lists:AERONET</v>
      </c>
      <c r="B105" s="16" t="s">
        <v>131</v>
      </c>
      <c r="C105" s="17"/>
      <c r="D105" s="16"/>
      <c r="E105" s="16" t="s">
        <v>113</v>
      </c>
      <c r="F105" s="17"/>
      <c r="G105" s="17"/>
      <c r="H105" s="17"/>
      <c r="I105" s="17"/>
      <c r="J105" s="17"/>
      <c r="K105" s="17"/>
      <c r="L105" s="17"/>
      <c r="M105" s="17"/>
      <c r="N105" s="18" t="s">
        <v>43</v>
      </c>
      <c r="O105" s="17"/>
      <c r="P105" s="17"/>
    </row>
    <row r="106" spans="1:16" ht="17.25" customHeight="1">
      <c r="A106" s="14" t="str">
        <f t="shared" si="4"/>
        <v>ACTRIS_ctrl_lists:RI-URBANS</v>
      </c>
      <c r="B106" s="16" t="s">
        <v>135</v>
      </c>
      <c r="C106" s="17"/>
      <c r="D106" s="16"/>
      <c r="E106" s="16" t="s">
        <v>113</v>
      </c>
      <c r="F106" s="17"/>
      <c r="G106" s="17"/>
      <c r="H106" s="17"/>
      <c r="I106" s="17"/>
      <c r="J106" s="17"/>
      <c r="K106" s="17"/>
      <c r="L106" s="17"/>
      <c r="M106" s="17"/>
      <c r="N106" s="18" t="s">
        <v>43</v>
      </c>
      <c r="O106" s="17"/>
      <c r="P106" s="17"/>
    </row>
    <row r="107" spans="1:16" ht="17.25" customHeight="1">
      <c r="A107" s="14" t="str">
        <f t="shared" si="4"/>
        <v/>
      </c>
      <c r="B107" s="16"/>
      <c r="C107" s="17"/>
      <c r="D107" s="16"/>
      <c r="E107" s="16"/>
      <c r="F107" s="17"/>
      <c r="G107" s="17"/>
      <c r="H107" s="17"/>
      <c r="I107" s="17"/>
      <c r="J107" s="17"/>
      <c r="K107" s="17"/>
      <c r="L107" s="17"/>
      <c r="M107" s="17"/>
      <c r="N107" s="22"/>
      <c r="O107" s="17"/>
      <c r="P107" s="17"/>
    </row>
    <row r="108" spans="1:16" ht="17.25" customHeight="1">
      <c r="A108" s="14"/>
      <c r="B108" s="16"/>
      <c r="C108" s="17"/>
      <c r="D108" s="16"/>
      <c r="E108" s="16"/>
      <c r="F108" s="17"/>
      <c r="G108" s="17"/>
      <c r="H108" s="17"/>
      <c r="I108" s="17"/>
      <c r="J108" s="17"/>
      <c r="K108" s="17"/>
      <c r="L108" s="17"/>
      <c r="M108" s="17"/>
      <c r="N108" s="22"/>
      <c r="O108" s="17"/>
      <c r="P108" s="17"/>
    </row>
    <row r="109" spans="1:16" ht="15" customHeight="1">
      <c r="A109" s="11" t="str">
        <f t="shared" ref="A109:A110" si="5">IF(ISBLANK($B109),"",$B$2 &amp; ":" &amp; (SUBSTITUTE(SUBSTITUTE(SUBSTITUTE(SUBSTITUTE(SUBSTITUTE(SUBSTITUTE(SUBSTITUTE(SUBSTITUTE(SUBSTITUTE(B109," ",""),"/","Div"),",","-"),"(","-"),")",""),"+","plus"),"--","-")," ",""),"&amp;","-")))</f>
        <v>ACTRIS_ctrl_lists:Glossary</v>
      </c>
      <c r="B109" s="12" t="s">
        <v>145</v>
      </c>
      <c r="C109" s="12"/>
      <c r="D109" s="12"/>
      <c r="E109" s="12"/>
      <c r="F109" s="12" t="s">
        <v>148</v>
      </c>
      <c r="G109" s="12"/>
      <c r="H109" s="12"/>
      <c r="I109" s="12"/>
      <c r="J109" s="12"/>
      <c r="K109" s="12"/>
      <c r="L109" s="12"/>
      <c r="M109" s="12"/>
      <c r="N109" s="13" t="s">
        <v>43</v>
      </c>
      <c r="O109" s="12"/>
      <c r="P109" s="12"/>
    </row>
    <row r="110" spans="1:16" ht="17.25" customHeight="1">
      <c r="A110" s="14" t="str">
        <f t="shared" si="5"/>
        <v>ACTRIS_ctrl_lists:ACTRISdata</v>
      </c>
      <c r="B110" s="16" t="s">
        <v>146</v>
      </c>
      <c r="C110" s="17"/>
      <c r="D110" s="16" t="s">
        <v>151</v>
      </c>
      <c r="E110" s="16" t="s">
        <v>147</v>
      </c>
      <c r="F110" s="17"/>
      <c r="G110" s="17"/>
      <c r="H110" s="17" t="s">
        <v>150</v>
      </c>
      <c r="I110" s="17"/>
      <c r="J110" s="17"/>
      <c r="K110" s="17"/>
      <c r="L110" s="17"/>
      <c r="M110" s="17"/>
      <c r="N110" s="22"/>
      <c r="O110" s="17"/>
      <c r="P110" s="17"/>
    </row>
    <row r="111" spans="1:16" ht="17.25" customHeight="1">
      <c r="A111" s="14"/>
      <c r="B111" s="16"/>
      <c r="C111" s="17"/>
      <c r="D111" s="16"/>
      <c r="E111" s="16"/>
      <c r="F111" s="17"/>
      <c r="G111" s="17"/>
      <c r="H111" s="17"/>
      <c r="I111" s="17"/>
      <c r="J111" s="17"/>
      <c r="K111" s="17"/>
      <c r="L111" s="17"/>
      <c r="M111" s="17"/>
      <c r="N111" s="22"/>
      <c r="O111" s="17"/>
      <c r="P111" s="17"/>
    </row>
    <row r="112" spans="1:16" ht="15" customHeight="1">
      <c r="A112" s="11" t="str">
        <f t="shared" ref="A112:A138" si="6">IF(ISBLANK($B112),"",$B$2 &amp; ":" &amp; (SUBSTITUTE(SUBSTITUTE(SUBSTITUTE(SUBSTITUTE(SUBSTITUTE(SUBSTITUTE(SUBSTITUTE(SUBSTITUTE(SUBSTITUTE(B112," ",""),"/","Div"),",","-"),"(","-"),")",""),"+","plus"),"--","-")," ",""),"&amp;","-")))</f>
        <v>ACTRIS_ctrl_lists:calibrationscale</v>
      </c>
      <c r="B112" s="12" t="s">
        <v>204</v>
      </c>
      <c r="C112" s="12"/>
      <c r="D112" s="12" t="s">
        <v>230</v>
      </c>
      <c r="E112" s="12"/>
      <c r="F112" s="12"/>
      <c r="G112" s="12"/>
      <c r="H112" s="12"/>
      <c r="I112" s="12"/>
      <c r="J112" s="12"/>
      <c r="K112" s="12"/>
      <c r="L112" s="12"/>
      <c r="M112" s="12"/>
      <c r="N112" s="13" t="s">
        <v>43</v>
      </c>
      <c r="O112" s="12"/>
      <c r="P112" s="12"/>
    </row>
    <row r="113" spans="1:16" ht="17.25" customHeight="1">
      <c r="A113" s="14" t="str">
        <f t="shared" si="6"/>
        <v>ACTRIS_ctrl_lists:Apel-Riemer</v>
      </c>
      <c r="B113" s="16" t="s">
        <v>206</v>
      </c>
      <c r="C113" s="17"/>
      <c r="D113" s="16"/>
      <c r="E113" s="16" t="s">
        <v>231</v>
      </c>
      <c r="F113" s="17"/>
      <c r="G113" s="17"/>
      <c r="H113" s="17" t="s">
        <v>150</v>
      </c>
      <c r="I113" s="17"/>
      <c r="J113" s="17"/>
      <c r="K113" s="17"/>
      <c r="L113" s="17"/>
      <c r="M113" s="17"/>
      <c r="N113" s="22" t="s">
        <v>43</v>
      </c>
      <c r="O113" s="17"/>
      <c r="P113" s="17"/>
    </row>
    <row r="114" spans="1:16" ht="17.25" customHeight="1">
      <c r="A114" s="14" t="str">
        <f t="shared" si="6"/>
        <v>ACTRIS_ctrl_lists:Empa-2015-p</v>
      </c>
      <c r="B114" s="16" t="s">
        <v>227</v>
      </c>
      <c r="C114" s="17"/>
      <c r="D114" s="16"/>
      <c r="E114" s="16" t="s">
        <v>231</v>
      </c>
      <c r="F114" s="17"/>
      <c r="G114" s="17"/>
      <c r="H114" s="17"/>
      <c r="I114" s="17"/>
      <c r="J114" s="17"/>
      <c r="K114" s="17"/>
      <c r="L114" s="17"/>
      <c r="M114" s="17"/>
      <c r="N114" s="22" t="s">
        <v>43</v>
      </c>
      <c r="O114" s="17"/>
      <c r="P114" s="17"/>
    </row>
    <row r="115" spans="1:16" ht="17.25" customHeight="1">
      <c r="A115" s="14" t="str">
        <f t="shared" si="6"/>
        <v>ACTRIS_ctrl_lists:MPI-2009</v>
      </c>
      <c r="B115" s="16" t="s">
        <v>222</v>
      </c>
      <c r="C115" s="17"/>
      <c r="D115" s="16"/>
      <c r="E115" s="16" t="s">
        <v>231</v>
      </c>
      <c r="F115" s="17"/>
      <c r="G115" s="17"/>
      <c r="H115" s="17"/>
      <c r="I115" s="17"/>
      <c r="J115" s="17"/>
      <c r="K115" s="17"/>
      <c r="L115" s="17"/>
      <c r="M115" s="17"/>
      <c r="N115" s="22" t="s">
        <v>43</v>
      </c>
      <c r="O115" s="17"/>
      <c r="P115" s="17"/>
    </row>
    <row r="116" spans="1:16" ht="17.25" customHeight="1">
      <c r="A116" s="14" t="str">
        <f t="shared" si="6"/>
        <v>ACTRIS_ctrl_lists:NOAA-2003</v>
      </c>
      <c r="B116" s="16" t="s">
        <v>213</v>
      </c>
      <c r="C116" s="17"/>
      <c r="D116" s="16"/>
      <c r="E116" s="16" t="s">
        <v>231</v>
      </c>
      <c r="F116" s="17"/>
      <c r="G116" s="17"/>
      <c r="H116" s="17"/>
      <c r="I116" s="17"/>
      <c r="J116" s="17"/>
      <c r="K116" s="17"/>
      <c r="L116" s="17"/>
      <c r="M116" s="17"/>
      <c r="N116" s="22" t="s">
        <v>43</v>
      </c>
      <c r="O116" s="17"/>
      <c r="P116" s="17"/>
    </row>
    <row r="117" spans="1:16" ht="17.25" customHeight="1">
      <c r="A117" s="14" t="str">
        <f t="shared" si="6"/>
        <v>ACTRIS_ctrl_lists:NOAA-2003B</v>
      </c>
      <c r="B117" s="16" t="s">
        <v>208</v>
      </c>
      <c r="C117" s="17"/>
      <c r="D117" s="16"/>
      <c r="E117" s="16" t="s">
        <v>231</v>
      </c>
      <c r="F117" s="17"/>
      <c r="G117" s="17"/>
      <c r="H117" s="17"/>
      <c r="I117" s="17"/>
      <c r="J117" s="17"/>
      <c r="K117" s="17"/>
      <c r="L117" s="17"/>
      <c r="M117" s="17"/>
      <c r="N117" s="22" t="s">
        <v>43</v>
      </c>
      <c r="O117" s="17"/>
      <c r="P117" s="17"/>
    </row>
    <row r="118" spans="1:16" ht="17.25" customHeight="1">
      <c r="A118" s="14" t="str">
        <f t="shared" si="6"/>
        <v>ACTRIS_ctrl_lists:NOAA-2004</v>
      </c>
      <c r="B118" s="16" t="s">
        <v>219</v>
      </c>
      <c r="C118" s="17"/>
      <c r="D118" s="16"/>
      <c r="E118" s="16" t="s">
        <v>231</v>
      </c>
      <c r="F118" s="17"/>
      <c r="G118" s="17"/>
      <c r="H118" s="17"/>
      <c r="I118" s="17"/>
      <c r="J118" s="17"/>
      <c r="K118" s="17"/>
      <c r="L118" s="17"/>
      <c r="M118" s="17"/>
      <c r="N118" s="22" t="s">
        <v>43</v>
      </c>
      <c r="O118" s="17"/>
      <c r="P118" s="17"/>
    </row>
    <row r="119" spans="1:16" ht="17.25" customHeight="1">
      <c r="A119" s="14" t="str">
        <f t="shared" si="6"/>
        <v>ACTRIS_ctrl_lists:NOAA-Jul10-p</v>
      </c>
      <c r="B119" s="16" t="s">
        <v>220</v>
      </c>
      <c r="C119" s="17"/>
      <c r="D119" s="16"/>
      <c r="E119" s="16" t="s">
        <v>231</v>
      </c>
      <c r="F119" s="17"/>
      <c r="G119" s="17"/>
      <c r="H119" s="17"/>
      <c r="I119" s="17"/>
      <c r="J119" s="17"/>
      <c r="K119" s="17"/>
      <c r="L119" s="17"/>
      <c r="M119" s="17"/>
      <c r="N119" s="22" t="s">
        <v>43</v>
      </c>
      <c r="O119" s="17"/>
      <c r="P119" s="17"/>
    </row>
    <row r="120" spans="1:16" ht="17.25" customHeight="1">
      <c r="A120" s="14" t="str">
        <f t="shared" si="6"/>
        <v>ACTRIS_ctrl_lists:NOAA04</v>
      </c>
      <c r="B120" s="16" t="s">
        <v>223</v>
      </c>
      <c r="C120" s="17"/>
      <c r="D120" s="16"/>
      <c r="E120" s="16" t="s">
        <v>231</v>
      </c>
      <c r="F120" s="17"/>
      <c r="G120" s="17"/>
      <c r="H120" s="17"/>
      <c r="I120" s="17"/>
      <c r="J120" s="17"/>
      <c r="K120" s="17"/>
      <c r="L120" s="17"/>
      <c r="M120" s="17"/>
      <c r="N120" s="22" t="s">
        <v>43</v>
      </c>
      <c r="O120" s="17"/>
      <c r="P120" s="17"/>
    </row>
    <row r="121" spans="1:16" ht="17.25" customHeight="1">
      <c r="A121" s="14" t="str">
        <f t="shared" si="6"/>
        <v>ACTRIS_ctrl_lists:NPL</v>
      </c>
      <c r="B121" s="16" t="s">
        <v>205</v>
      </c>
      <c r="C121" s="17"/>
      <c r="D121" s="16"/>
      <c r="E121" s="16" t="s">
        <v>231</v>
      </c>
      <c r="F121" s="17"/>
      <c r="G121" s="17"/>
      <c r="H121" s="17"/>
      <c r="I121" s="17"/>
      <c r="J121" s="17"/>
      <c r="K121" s="17"/>
      <c r="L121" s="17"/>
      <c r="M121" s="17"/>
      <c r="N121" s="22" t="s">
        <v>43</v>
      </c>
      <c r="O121" s="17"/>
      <c r="P121" s="17"/>
    </row>
    <row r="122" spans="1:16" ht="17.25" customHeight="1">
      <c r="A122" s="14" t="str">
        <f t="shared" si="6"/>
        <v>ACTRIS_ctrl_lists:NPLplusGPT</v>
      </c>
      <c r="B122" s="16" t="s">
        <v>225</v>
      </c>
      <c r="C122" s="17"/>
      <c r="D122" s="16"/>
      <c r="E122" s="16" t="s">
        <v>231</v>
      </c>
      <c r="F122" s="17"/>
      <c r="G122" s="17"/>
      <c r="H122" s="17"/>
      <c r="I122" s="17"/>
      <c r="J122" s="17"/>
      <c r="K122" s="17"/>
      <c r="L122" s="17"/>
      <c r="M122" s="17"/>
      <c r="N122" s="22" t="s">
        <v>43</v>
      </c>
      <c r="O122" s="17"/>
      <c r="P122" s="17"/>
    </row>
    <row r="123" spans="1:16" ht="17.25" customHeight="1">
      <c r="A123" s="14" t="str">
        <f t="shared" si="6"/>
        <v>ACTRIS_ctrl_lists:SIO1998</v>
      </c>
      <c r="B123" s="16" t="s">
        <v>229</v>
      </c>
      <c r="C123" s="17"/>
      <c r="D123" s="16"/>
      <c r="E123" s="16" t="s">
        <v>231</v>
      </c>
      <c r="F123" s="17"/>
      <c r="G123" s="17"/>
      <c r="H123" s="17"/>
      <c r="I123" s="17"/>
      <c r="J123" s="17"/>
      <c r="K123" s="17"/>
      <c r="L123" s="17"/>
      <c r="M123" s="17"/>
      <c r="N123" s="22" t="s">
        <v>43</v>
      </c>
      <c r="O123" s="17"/>
      <c r="P123" s="17"/>
    </row>
    <row r="124" spans="1:16" ht="17.25" customHeight="1">
      <c r="A124" s="14" t="str">
        <f t="shared" ref="A124:A129" si="7">IF(ISBLANK($B124),"",$B$2 &amp; ":" &amp; (SUBSTITUTE(SUBSTITUTE(SUBSTITUTE(SUBSTITUTE(SUBSTITUTE(SUBSTITUTE(SUBSTITUTE(SUBSTITUTE(SUBSTITUTE(B124," ",""),"/","Div"),",","-"),"(","-"),")",""),"+","plus"),"--","-")," ",""),"&amp;","-")))</f>
        <v>ACTRIS_ctrl_lists:SIO2005</v>
      </c>
      <c r="B124" s="16" t="s">
        <v>207</v>
      </c>
      <c r="C124" s="17"/>
      <c r="D124" s="16"/>
      <c r="E124" s="16" t="s">
        <v>231</v>
      </c>
      <c r="F124" s="17"/>
      <c r="G124" s="17"/>
      <c r="H124" s="17"/>
      <c r="I124" s="17"/>
      <c r="J124" s="17"/>
      <c r="K124" s="17"/>
      <c r="L124" s="17"/>
      <c r="M124" s="17"/>
      <c r="N124" s="22" t="s">
        <v>43</v>
      </c>
      <c r="O124" s="17"/>
      <c r="P124" s="17"/>
    </row>
    <row r="125" spans="1:16" ht="17.25" customHeight="1">
      <c r="A125" s="14" t="str">
        <f t="shared" si="7"/>
        <v>ACTRIS_ctrl_lists:SIO2007</v>
      </c>
      <c r="B125" s="16" t="s">
        <v>210</v>
      </c>
      <c r="C125" s="17"/>
      <c r="D125" s="16"/>
      <c r="E125" s="16" t="s">
        <v>231</v>
      </c>
      <c r="F125" s="17"/>
      <c r="G125" s="17"/>
      <c r="H125" s="17"/>
      <c r="I125" s="17"/>
      <c r="J125" s="17"/>
      <c r="K125" s="17"/>
      <c r="L125" s="17"/>
      <c r="M125" s="17"/>
      <c r="N125" s="22" t="s">
        <v>43</v>
      </c>
      <c r="O125" s="17"/>
      <c r="P125" s="17"/>
    </row>
    <row r="126" spans="1:16" ht="17.25" customHeight="1">
      <c r="A126" s="14" t="str">
        <f t="shared" si="7"/>
        <v>ACTRIS_ctrl_lists:SIO2012</v>
      </c>
      <c r="B126" s="16" t="s">
        <v>226</v>
      </c>
      <c r="C126" s="17"/>
      <c r="D126" s="16"/>
      <c r="E126" s="16" t="s">
        <v>231</v>
      </c>
      <c r="F126" s="17"/>
      <c r="G126" s="17"/>
      <c r="H126" s="17"/>
      <c r="I126" s="17"/>
      <c r="J126" s="17"/>
      <c r="K126" s="17"/>
      <c r="L126" s="17"/>
      <c r="M126" s="17"/>
      <c r="N126" s="22" t="s">
        <v>43</v>
      </c>
      <c r="O126" s="17"/>
      <c r="P126" s="17"/>
    </row>
    <row r="127" spans="1:16" ht="17.25" customHeight="1">
      <c r="A127" s="14" t="str">
        <f t="shared" si="7"/>
        <v>ACTRIS_ctrl_lists:SIO2014</v>
      </c>
      <c r="B127" s="16" t="s">
        <v>209</v>
      </c>
      <c r="C127" s="17"/>
      <c r="D127" s="16"/>
      <c r="E127" s="16" t="s">
        <v>231</v>
      </c>
      <c r="F127" s="17"/>
      <c r="G127" s="17"/>
      <c r="H127" s="17"/>
      <c r="I127" s="17"/>
      <c r="J127" s="17"/>
      <c r="K127" s="17"/>
      <c r="L127" s="17"/>
      <c r="M127" s="17"/>
      <c r="N127" s="22" t="s">
        <v>43</v>
      </c>
      <c r="O127" s="17"/>
      <c r="P127" s="17"/>
    </row>
    <row r="128" spans="1:16" ht="17.25" customHeight="1">
      <c r="A128" s="14" t="str">
        <f t="shared" si="7"/>
        <v>ACTRIS_ctrl_lists:SIO-p</v>
      </c>
      <c r="B128" s="16" t="s">
        <v>211</v>
      </c>
      <c r="C128" s="17"/>
      <c r="D128" s="16"/>
      <c r="E128" s="16" t="s">
        <v>231</v>
      </c>
      <c r="F128" s="17"/>
      <c r="G128" s="17"/>
      <c r="H128" s="17"/>
      <c r="I128" s="17"/>
      <c r="J128" s="17"/>
      <c r="K128" s="17"/>
      <c r="L128" s="17"/>
      <c r="M128" s="17"/>
      <c r="N128" s="22" t="s">
        <v>43</v>
      </c>
      <c r="O128" s="17"/>
      <c r="P128" s="17"/>
    </row>
    <row r="129" spans="1:16" ht="17.25" customHeight="1">
      <c r="A129" s="14" t="str">
        <f t="shared" si="7"/>
        <v>ACTRIS_ctrl_lists:UB-98</v>
      </c>
      <c r="B129" s="16" t="s">
        <v>228</v>
      </c>
      <c r="C129" s="17"/>
      <c r="D129" s="16"/>
      <c r="E129" s="16" t="s">
        <v>231</v>
      </c>
      <c r="F129" s="17"/>
      <c r="G129" s="17"/>
      <c r="H129" s="17"/>
      <c r="I129" s="17"/>
      <c r="J129" s="17"/>
      <c r="K129" s="17"/>
      <c r="L129" s="17"/>
      <c r="M129" s="17"/>
      <c r="N129" s="22" t="s">
        <v>43</v>
      </c>
      <c r="O129" s="17"/>
      <c r="P129" s="17"/>
    </row>
    <row r="130" spans="1:16" ht="17.25" customHeight="1">
      <c r="A130" s="14" t="str">
        <f t="shared" si="6"/>
        <v>ACTRIS_ctrl_lists:UB-p</v>
      </c>
      <c r="B130" s="16" t="s">
        <v>212</v>
      </c>
      <c r="C130" s="17"/>
      <c r="D130" s="16"/>
      <c r="E130" s="16" t="s">
        <v>231</v>
      </c>
      <c r="F130" s="17"/>
      <c r="G130" s="17"/>
      <c r="H130" s="17"/>
      <c r="I130" s="17"/>
      <c r="J130" s="17"/>
      <c r="K130" s="17"/>
      <c r="L130" s="17"/>
      <c r="M130" s="17"/>
      <c r="N130" s="22" t="s">
        <v>43</v>
      </c>
      <c r="O130" s="17"/>
      <c r="P130" s="17"/>
    </row>
    <row r="131" spans="1:16" ht="17.25" customHeight="1">
      <c r="A131" s="14" t="str">
        <f t="shared" si="6"/>
        <v>ACTRIS_ctrl_lists:WMOCH4X2004</v>
      </c>
      <c r="B131" s="16" t="s">
        <v>224</v>
      </c>
      <c r="C131" s="17"/>
      <c r="D131" s="16"/>
      <c r="E131" s="16" t="s">
        <v>231</v>
      </c>
      <c r="F131" s="17"/>
      <c r="G131" s="17"/>
      <c r="H131" s="17"/>
      <c r="I131" s="17"/>
      <c r="J131" s="17"/>
      <c r="K131" s="17"/>
      <c r="L131" s="17"/>
      <c r="M131" s="17"/>
      <c r="N131" s="22" t="s">
        <v>43</v>
      </c>
      <c r="O131" s="17"/>
      <c r="P131" s="17"/>
    </row>
    <row r="132" spans="1:16" ht="17.25" customHeight="1">
      <c r="A132" s="14" t="str">
        <f t="shared" si="6"/>
        <v>ACTRIS_ctrl_lists:WMOCOX2004</v>
      </c>
      <c r="B132" s="16" t="s">
        <v>214</v>
      </c>
      <c r="C132" s="17"/>
      <c r="D132" s="16"/>
      <c r="E132" s="16" t="s">
        <v>231</v>
      </c>
      <c r="F132" s="17"/>
      <c r="G132" s="17"/>
      <c r="H132" s="17"/>
      <c r="I132" s="17"/>
      <c r="J132" s="17"/>
      <c r="K132" s="17"/>
      <c r="L132" s="17"/>
      <c r="M132" s="17"/>
      <c r="N132" s="22" t="s">
        <v>43</v>
      </c>
      <c r="O132" s="17"/>
      <c r="P132" s="17"/>
    </row>
    <row r="133" spans="1:16" ht="17.25" customHeight="1">
      <c r="A133" s="14" t="str">
        <f t="shared" si="6"/>
        <v>ACTRIS_ctrl_lists:WMOCOX2014</v>
      </c>
      <c r="B133" s="16" t="s">
        <v>215</v>
      </c>
      <c r="C133" s="17"/>
      <c r="D133" s="16"/>
      <c r="E133" s="16" t="s">
        <v>231</v>
      </c>
      <c r="F133" s="17"/>
      <c r="G133" s="17"/>
      <c r="H133" s="17"/>
      <c r="I133" s="17"/>
      <c r="J133" s="17"/>
      <c r="K133" s="17"/>
      <c r="L133" s="17"/>
      <c r="M133" s="17"/>
      <c r="N133" s="22" t="s">
        <v>43</v>
      </c>
      <c r="O133" s="17"/>
      <c r="P133" s="17"/>
    </row>
    <row r="134" spans="1:16" ht="17.25" customHeight="1">
      <c r="A134" s="14" t="str">
        <f t="shared" si="6"/>
        <v>ACTRIS_ctrl_lists:WMOCOX2014A</v>
      </c>
      <c r="B134" s="16" t="s">
        <v>216</v>
      </c>
      <c r="C134" s="17"/>
      <c r="D134" s="16"/>
      <c r="E134" s="16" t="s">
        <v>231</v>
      </c>
      <c r="F134" s="17"/>
      <c r="G134" s="17"/>
      <c r="H134" s="17"/>
      <c r="I134" s="17"/>
      <c r="J134" s="17"/>
      <c r="K134" s="17"/>
      <c r="L134" s="17"/>
      <c r="M134" s="17"/>
      <c r="N134" s="22" t="s">
        <v>43</v>
      </c>
      <c r="O134" s="17"/>
      <c r="P134" s="17"/>
    </row>
    <row r="135" spans="1:16" ht="17.25" customHeight="1">
      <c r="A135" s="14" t="str">
        <f t="shared" si="6"/>
        <v>ACTRIS_ctrl_lists:WMOCO2X2007</v>
      </c>
      <c r="B135" s="16" t="s">
        <v>217</v>
      </c>
      <c r="C135" s="17"/>
      <c r="D135" s="16"/>
      <c r="E135" s="16" t="s">
        <v>231</v>
      </c>
      <c r="F135" s="17"/>
      <c r="G135" s="17"/>
      <c r="H135" s="17"/>
      <c r="I135" s="17"/>
      <c r="J135" s="17"/>
      <c r="K135" s="17"/>
      <c r="L135" s="17"/>
      <c r="M135" s="17"/>
      <c r="N135" s="22" t="s">
        <v>43</v>
      </c>
      <c r="O135" s="17"/>
      <c r="P135" s="17"/>
    </row>
    <row r="136" spans="1:16" ht="17.25" customHeight="1">
      <c r="A136" s="14" t="str">
        <f t="shared" si="6"/>
        <v>ACTRIS_ctrl_lists:WMOCO2X2019</v>
      </c>
      <c r="B136" s="16" t="s">
        <v>218</v>
      </c>
      <c r="C136" s="17"/>
      <c r="D136" s="16"/>
      <c r="E136" s="16" t="s">
        <v>231</v>
      </c>
      <c r="F136" s="17"/>
      <c r="G136" s="17"/>
      <c r="H136" s="17"/>
      <c r="I136" s="17"/>
      <c r="J136" s="17"/>
      <c r="K136" s="17"/>
      <c r="L136" s="17"/>
      <c r="M136" s="17"/>
      <c r="N136" s="22" t="s">
        <v>43</v>
      </c>
      <c r="O136" s="17"/>
      <c r="P136" s="17"/>
    </row>
    <row r="137" spans="1:16" ht="17.25" customHeight="1">
      <c r="A137" s="14" t="str">
        <f t="shared" si="6"/>
        <v>ACTRIS_ctrl_lists:WMON2OX2006A</v>
      </c>
      <c r="B137" s="16" t="s">
        <v>221</v>
      </c>
      <c r="C137" s="17"/>
      <c r="D137" s="16"/>
      <c r="E137" s="16" t="s">
        <v>231</v>
      </c>
      <c r="F137" s="17"/>
      <c r="G137" s="17"/>
      <c r="H137" s="17"/>
      <c r="I137" s="17"/>
      <c r="J137" s="17"/>
      <c r="K137" s="17"/>
      <c r="L137" s="17"/>
      <c r="M137" s="17"/>
      <c r="N137" s="22" t="s">
        <v>43</v>
      </c>
      <c r="O137" s="17"/>
      <c r="P137" s="17"/>
    </row>
    <row r="138" spans="1:16" ht="17.25" customHeight="1">
      <c r="A138" s="14" t="str">
        <f t="shared" si="6"/>
        <v/>
      </c>
      <c r="B138" s="16"/>
      <c r="C138" s="17"/>
      <c r="D138" s="16"/>
      <c r="E138" s="16"/>
      <c r="F138" s="17"/>
      <c r="G138" s="17"/>
      <c r="H138" s="17"/>
      <c r="I138" s="17"/>
      <c r="J138" s="17"/>
      <c r="K138" s="17"/>
      <c r="L138" s="17"/>
      <c r="M138" s="17"/>
      <c r="N138" s="22"/>
      <c r="O138" s="17"/>
      <c r="P138" s="17"/>
    </row>
    <row r="139" spans="1:16" ht="15" customHeight="1">
      <c r="A139" s="11" t="str">
        <f t="shared" si="4"/>
        <v>ACTRIS_ctrl_lists:usemetadata</v>
      </c>
      <c r="B139" s="12" t="s">
        <v>170</v>
      </c>
      <c r="C139" s="12"/>
      <c r="D139" s="12" t="s">
        <v>176</v>
      </c>
      <c r="E139" s="12"/>
      <c r="F139" s="12"/>
      <c r="G139" s="12"/>
      <c r="H139" s="12"/>
      <c r="I139" s="12"/>
      <c r="J139" s="12"/>
      <c r="K139" s="12"/>
      <c r="L139" s="12"/>
      <c r="M139" s="12"/>
      <c r="N139" s="13" t="s">
        <v>43</v>
      </c>
      <c r="O139" s="12"/>
      <c r="P139" s="12"/>
    </row>
    <row r="140" spans="1:16" ht="15" customHeight="1">
      <c r="A140" s="23" t="str">
        <f t="shared" si="4"/>
        <v>ACTRIS_ctrl_lists:simulationchambercontrolledlists</v>
      </c>
      <c r="B140" s="24" t="s">
        <v>167</v>
      </c>
      <c r="C140" s="24"/>
      <c r="D140" s="24"/>
      <c r="E140" s="24" t="s">
        <v>171</v>
      </c>
      <c r="F140" s="24"/>
      <c r="G140" s="24"/>
      <c r="H140" s="24"/>
      <c r="I140" s="24"/>
      <c r="J140" s="24"/>
      <c r="K140" s="24"/>
      <c r="L140" s="24"/>
      <c r="M140" s="24"/>
      <c r="N140" s="25" t="s">
        <v>43</v>
      </c>
      <c r="O140" s="24"/>
      <c r="P140" s="24"/>
    </row>
    <row r="141" spans="1:16" ht="15" customHeight="1">
      <c r="A141" s="26" t="str">
        <f t="shared" si="4"/>
        <v>ACTRIS_ctrl_lists:simulationchamberlightsources</v>
      </c>
      <c r="B141" s="27" t="s">
        <v>177</v>
      </c>
      <c r="C141" s="27"/>
      <c r="D141" s="27"/>
      <c r="E141" s="27" t="s">
        <v>183</v>
      </c>
      <c r="F141" s="27"/>
      <c r="G141" s="27"/>
      <c r="H141" s="27"/>
      <c r="I141" s="27"/>
      <c r="J141" s="27"/>
      <c r="K141" s="27"/>
      <c r="L141" s="27"/>
      <c r="M141" s="27"/>
      <c r="N141" s="28" t="s">
        <v>43</v>
      </c>
      <c r="O141" s="27"/>
      <c r="P141" s="27"/>
    </row>
    <row r="142" spans="1:16" ht="17.25" customHeight="1">
      <c r="A142" s="14" t="str">
        <f t="shared" si="4"/>
        <v>ACTRIS_ctrl_lists:darkchamber</v>
      </c>
      <c r="B142" s="16" t="s">
        <v>178</v>
      </c>
      <c r="C142" s="17"/>
      <c r="D142" s="16"/>
      <c r="E142" s="17" t="s">
        <v>184</v>
      </c>
      <c r="F142" s="17"/>
      <c r="G142" s="17"/>
      <c r="H142" s="17"/>
      <c r="I142" s="17"/>
      <c r="J142" s="17"/>
      <c r="K142" s="17"/>
      <c r="L142" s="17"/>
      <c r="M142" s="17"/>
      <c r="N142" s="22" t="s">
        <v>43</v>
      </c>
      <c r="O142" s="22"/>
      <c r="P142" s="17"/>
    </row>
    <row r="143" spans="1:16" ht="17.25" customHeight="1">
      <c r="A143" s="14" t="str">
        <f t="shared" si="4"/>
        <v>ACTRIS_ctrl_lists:fluorescentlamps</v>
      </c>
      <c r="B143" s="16" t="s">
        <v>179</v>
      </c>
      <c r="C143" s="17"/>
      <c r="D143" s="16"/>
      <c r="E143" s="17" t="s">
        <v>184</v>
      </c>
      <c r="F143" s="17"/>
      <c r="G143" s="17"/>
      <c r="H143" s="17"/>
      <c r="I143" s="17"/>
      <c r="J143" s="17"/>
      <c r="K143" s="17"/>
      <c r="L143" s="17"/>
      <c r="M143" s="17"/>
      <c r="N143" s="22" t="s">
        <v>43</v>
      </c>
      <c r="O143" s="22"/>
      <c r="P143" s="17"/>
    </row>
    <row r="144" spans="1:16" ht="17.25" customHeight="1">
      <c r="A144" s="14" t="str">
        <f t="shared" si="4"/>
        <v>ACTRIS_ctrl_lists:naturalsunlight</v>
      </c>
      <c r="B144" s="16" t="s">
        <v>180</v>
      </c>
      <c r="C144" s="17"/>
      <c r="D144" s="16"/>
      <c r="E144" s="17" t="s">
        <v>184</v>
      </c>
      <c r="F144" s="17"/>
      <c r="G144" s="17"/>
      <c r="H144" s="17"/>
      <c r="I144" s="17"/>
      <c r="J144" s="17"/>
      <c r="K144" s="17"/>
      <c r="L144" s="17"/>
      <c r="M144" s="17"/>
      <c r="N144" s="22" t="s">
        <v>43</v>
      </c>
      <c r="O144" s="22"/>
      <c r="P144" s="17"/>
    </row>
    <row r="145" spans="1:16" ht="17.25" customHeight="1">
      <c r="A145" s="14" t="str">
        <f t="shared" si="4"/>
        <v>ACTRIS_ctrl_lists:otherartificiallightsource</v>
      </c>
      <c r="B145" s="16" t="s">
        <v>181</v>
      </c>
      <c r="C145" s="17"/>
      <c r="D145" s="16"/>
      <c r="E145" s="17" t="s">
        <v>184</v>
      </c>
      <c r="F145" s="17"/>
      <c r="G145" s="17"/>
      <c r="H145" s="17"/>
      <c r="I145" s="17"/>
      <c r="J145" s="17"/>
      <c r="K145" s="17"/>
      <c r="L145" s="17"/>
      <c r="M145" s="17"/>
      <c r="N145" s="22" t="s">
        <v>43</v>
      </c>
      <c r="O145" s="22"/>
      <c r="P145" s="17"/>
    </row>
    <row r="146" spans="1:16" ht="17.25" customHeight="1">
      <c r="A146" s="14" t="str">
        <f t="shared" si="4"/>
        <v>ACTRIS_ctrl_lists:xenonarclamps</v>
      </c>
      <c r="B146" s="16" t="s">
        <v>182</v>
      </c>
      <c r="C146" s="17"/>
      <c r="D146" s="16"/>
      <c r="E146" s="17" t="s">
        <v>184</v>
      </c>
      <c r="F146" s="17"/>
      <c r="G146" s="17"/>
      <c r="H146" s="17"/>
      <c r="I146" s="17"/>
      <c r="J146" s="17"/>
      <c r="K146" s="17"/>
      <c r="L146" s="17"/>
      <c r="M146" s="17"/>
      <c r="N146" s="22" t="s">
        <v>43</v>
      </c>
      <c r="O146" s="22"/>
      <c r="P146" s="17"/>
    </row>
    <row r="147" spans="1:16" ht="17.25" customHeight="1">
      <c r="A147" s="14" t="str">
        <f t="shared" si="4"/>
        <v/>
      </c>
      <c r="B147" s="16"/>
      <c r="C147" s="17"/>
      <c r="D147" s="16"/>
      <c r="E147" s="17"/>
      <c r="F147" s="17"/>
      <c r="G147" s="17"/>
      <c r="H147" s="17"/>
      <c r="I147" s="17"/>
      <c r="J147" s="17"/>
      <c r="K147" s="17"/>
      <c r="L147" s="17"/>
      <c r="M147" s="17"/>
      <c r="N147" s="22"/>
      <c r="O147" s="22"/>
      <c r="P147" s="17"/>
    </row>
    <row r="148" spans="1:16" ht="15" customHeight="1">
      <c r="A148" s="26" t="str">
        <f t="shared" ref="A148" si="8">IF(ISBLANK($B148),"",$B$2 &amp; ":" &amp; (SUBSTITUTE(SUBSTITUTE(SUBSTITUTE(SUBSTITUTE(SUBSTITUTE(SUBSTITUTE(SUBSTITUTE(SUBSTITUTE(SUBSTITUTE(B148," ",""),"/","Div"),",","-"),"(","-"),")",""),"+","plus"),"--","-")," ",""),"&amp;","-")))</f>
        <v>ACTRIS_ctrl_lists:simulationchamberwalltypes</v>
      </c>
      <c r="B148" s="27" t="s">
        <v>185</v>
      </c>
      <c r="C148" s="27"/>
      <c r="D148" s="27"/>
      <c r="E148" s="27" t="s">
        <v>183</v>
      </c>
      <c r="F148" s="27"/>
      <c r="G148" s="27"/>
      <c r="H148" s="27"/>
      <c r="I148" s="27"/>
      <c r="J148" s="27"/>
      <c r="K148" s="27"/>
      <c r="L148" s="27"/>
      <c r="M148" s="27"/>
      <c r="N148" s="28" t="s">
        <v>43</v>
      </c>
      <c r="O148" s="27"/>
      <c r="P148" s="27"/>
    </row>
    <row r="149" spans="1:16" ht="17.25" customHeight="1">
      <c r="A149" s="14" t="str">
        <f t="shared" si="4"/>
        <v>ACTRIS_ctrl_lists:aluminium</v>
      </c>
      <c r="B149" s="16" t="s">
        <v>190</v>
      </c>
      <c r="C149" s="17"/>
      <c r="D149" s="16"/>
      <c r="E149" s="17" t="s">
        <v>192</v>
      </c>
      <c r="F149" s="17"/>
      <c r="G149" s="17"/>
      <c r="H149" s="17"/>
      <c r="I149" s="17"/>
      <c r="J149" s="17"/>
      <c r="K149" s="17"/>
      <c r="L149" s="17"/>
      <c r="M149" s="17"/>
      <c r="N149" s="22" t="s">
        <v>43</v>
      </c>
      <c r="O149" s="22"/>
      <c r="P149" s="17"/>
    </row>
    <row r="150" spans="1:16" ht="17.25" customHeight="1">
      <c r="A150" s="14" t="str">
        <f t="shared" si="4"/>
        <v>ACTRIS_ctrl_lists:fluorinatedethylenepropylenefilm</v>
      </c>
      <c r="B150" s="16" t="s">
        <v>191</v>
      </c>
      <c r="C150" s="16" t="s">
        <v>186</v>
      </c>
      <c r="D150" s="16"/>
      <c r="E150" s="17" t="s">
        <v>192</v>
      </c>
      <c r="F150" s="17"/>
      <c r="G150" s="17"/>
      <c r="H150" s="17"/>
      <c r="I150" s="17"/>
      <c r="J150" s="17"/>
      <c r="K150" s="17"/>
      <c r="L150" s="17"/>
      <c r="M150" s="17"/>
      <c r="N150" s="22" t="s">
        <v>43</v>
      </c>
      <c r="O150" s="22"/>
      <c r="P150" s="17"/>
    </row>
    <row r="151" spans="1:16" ht="17.25" customHeight="1">
      <c r="A151" s="14" t="str">
        <f t="shared" si="4"/>
        <v>ACTRIS_ctrl_lists:Pyrex</v>
      </c>
      <c r="B151" s="16" t="s">
        <v>187</v>
      </c>
      <c r="C151" s="17"/>
      <c r="D151" s="16"/>
      <c r="E151" s="17" t="s">
        <v>192</v>
      </c>
      <c r="F151" s="17"/>
      <c r="G151" s="17"/>
      <c r="H151" s="17"/>
      <c r="I151" s="17"/>
      <c r="J151" s="17"/>
      <c r="K151" s="17"/>
      <c r="L151" s="17"/>
      <c r="M151" s="17"/>
      <c r="N151" s="22" t="s">
        <v>43</v>
      </c>
      <c r="O151" s="22"/>
      <c r="P151" s="17"/>
    </row>
    <row r="152" spans="1:16" ht="17.25" customHeight="1">
      <c r="A152" s="14" t="str">
        <f t="shared" si="4"/>
        <v>ACTRIS_ctrl_lists:quartz</v>
      </c>
      <c r="B152" s="16" t="s">
        <v>188</v>
      </c>
      <c r="C152" s="17"/>
      <c r="D152" s="16"/>
      <c r="E152" s="17" t="s">
        <v>192</v>
      </c>
      <c r="F152" s="17"/>
      <c r="G152" s="17"/>
      <c r="H152" s="17"/>
      <c r="I152" s="17"/>
      <c r="J152" s="17"/>
      <c r="K152" s="17"/>
      <c r="L152" s="17"/>
      <c r="M152" s="17"/>
      <c r="N152" s="22" t="s">
        <v>43</v>
      </c>
      <c r="O152" s="22"/>
      <c r="P152" s="17"/>
    </row>
    <row r="153" spans="1:16" ht="17.25" customHeight="1">
      <c r="A153" s="14" t="str">
        <f t="shared" si="4"/>
        <v>ACTRIS_ctrl_lists:stainlesssteel</v>
      </c>
      <c r="B153" s="16" t="s">
        <v>189</v>
      </c>
      <c r="C153" s="17"/>
      <c r="D153" s="16"/>
      <c r="E153" s="17" t="s">
        <v>192</v>
      </c>
      <c r="F153" s="17"/>
      <c r="G153" s="17"/>
      <c r="H153" s="17"/>
      <c r="I153" s="17"/>
      <c r="J153" s="17"/>
      <c r="K153" s="17"/>
      <c r="L153" s="17"/>
      <c r="M153" s="17"/>
      <c r="N153" s="22" t="s">
        <v>43</v>
      </c>
      <c r="O153" s="22"/>
      <c r="P153" s="17"/>
    </row>
    <row r="154" spans="1:16" ht="17.25" customHeight="1">
      <c r="A154" s="14" t="str">
        <f t="shared" si="4"/>
        <v/>
      </c>
      <c r="B154" s="16"/>
      <c r="C154" s="17"/>
      <c r="D154" s="16"/>
      <c r="E154" s="17"/>
      <c r="F154" s="17"/>
      <c r="G154" s="17"/>
      <c r="H154" s="17"/>
      <c r="I154" s="17"/>
      <c r="J154" s="17"/>
      <c r="K154" s="17"/>
      <c r="L154" s="17"/>
      <c r="M154" s="17"/>
      <c r="N154" s="22"/>
      <c r="O154" s="22"/>
      <c r="P154" s="17"/>
    </row>
    <row r="155" spans="1:16" ht="17.25" customHeight="1">
      <c r="A155" s="14" t="str">
        <f t="shared" si="4"/>
        <v/>
      </c>
      <c r="B155" s="16"/>
      <c r="C155" s="17"/>
      <c r="D155" s="16"/>
      <c r="E155" s="17"/>
      <c r="F155" s="17"/>
      <c r="G155" s="17"/>
      <c r="H155" s="17"/>
      <c r="I155" s="17"/>
      <c r="J155" s="17"/>
      <c r="K155" s="17"/>
      <c r="L155" s="17"/>
      <c r="M155" s="17"/>
      <c r="N155" s="22"/>
      <c r="O155" s="22"/>
      <c r="P155" s="17"/>
    </row>
    <row r="156" spans="1:16" ht="15" customHeight="1">
      <c r="A156" s="23" t="str">
        <f t="shared" si="4"/>
        <v>ACTRIS_ctrl_lists:aerosolinsitucontrolledlists</v>
      </c>
      <c r="B156" s="24" t="s">
        <v>168</v>
      </c>
      <c r="C156" s="24"/>
      <c r="D156" s="24"/>
      <c r="E156" s="24" t="s">
        <v>171</v>
      </c>
      <c r="F156" s="24"/>
      <c r="G156" s="24"/>
      <c r="H156" s="24"/>
      <c r="I156" s="24"/>
      <c r="J156" s="24"/>
      <c r="K156" s="24"/>
      <c r="L156" s="24"/>
      <c r="M156" s="24"/>
      <c r="N156" s="25" t="s">
        <v>43</v>
      </c>
      <c r="O156" s="24"/>
      <c r="P156" s="24"/>
    </row>
    <row r="157" spans="1:16" ht="15" customHeight="1">
      <c r="A157" s="26" t="str">
        <f t="shared" si="4"/>
        <v>ACTRIS_ctrl_lists:filtertype</v>
      </c>
      <c r="B157" s="27" t="s">
        <v>193</v>
      </c>
      <c r="C157" s="27"/>
      <c r="D157" s="27"/>
      <c r="E157" s="27" t="s">
        <v>196</v>
      </c>
      <c r="F157" s="27"/>
      <c r="G157" s="27"/>
      <c r="H157" s="27"/>
      <c r="I157" s="27"/>
      <c r="J157" s="27"/>
      <c r="K157" s="27"/>
      <c r="L157" s="27"/>
      <c r="M157" s="27"/>
      <c r="N157" s="28" t="s">
        <v>43</v>
      </c>
      <c r="O157" s="27"/>
      <c r="P157" s="27"/>
    </row>
    <row r="158" spans="1:16" ht="17.25" customHeight="1">
      <c r="A158" s="14" t="str">
        <f t="shared" si="4"/>
        <v>ACTRIS_ctrl_lists:MageeAE33-FT</v>
      </c>
      <c r="B158" s="16" t="s">
        <v>194</v>
      </c>
      <c r="C158" s="17"/>
      <c r="D158" s="16"/>
      <c r="E158" s="17" t="s">
        <v>195</v>
      </c>
      <c r="F158" s="17"/>
      <c r="G158" s="17"/>
      <c r="H158" s="17" t="s">
        <v>312</v>
      </c>
      <c r="I158" s="17"/>
      <c r="J158" s="17"/>
      <c r="K158" s="17"/>
      <c r="L158" s="17"/>
      <c r="M158" s="17"/>
      <c r="N158" s="22" t="s">
        <v>43</v>
      </c>
      <c r="O158" s="22"/>
      <c r="P158" s="17"/>
    </row>
    <row r="159" spans="1:16" ht="17.25" customHeight="1">
      <c r="A159" s="14" t="str">
        <f t="shared" si="4"/>
        <v>ACTRIS_ctrl_lists:Magee8050</v>
      </c>
      <c r="B159" s="16" t="s">
        <v>202</v>
      </c>
      <c r="C159" s="17"/>
      <c r="D159" s="16"/>
      <c r="E159" s="17" t="s">
        <v>195</v>
      </c>
      <c r="F159" s="17"/>
      <c r="G159" s="17"/>
      <c r="H159" s="17" t="s">
        <v>312</v>
      </c>
      <c r="I159" s="17"/>
      <c r="J159" s="17"/>
      <c r="K159" s="17"/>
      <c r="L159" s="17"/>
      <c r="M159" s="17"/>
      <c r="N159" s="22" t="s">
        <v>43</v>
      </c>
      <c r="O159" s="22"/>
      <c r="P159" s="17"/>
    </row>
    <row r="160" spans="1:16" ht="17.25" customHeight="1">
      <c r="A160" s="14" t="str">
        <f t="shared" si="4"/>
        <v>ACTRIS_ctrl_lists:Magee8060</v>
      </c>
      <c r="B160" s="16" t="s">
        <v>203</v>
      </c>
      <c r="C160" s="17"/>
      <c r="D160" s="16"/>
      <c r="E160" s="17" t="s">
        <v>195</v>
      </c>
      <c r="F160" s="17"/>
      <c r="G160" s="17"/>
      <c r="H160" s="17" t="s">
        <v>312</v>
      </c>
      <c r="I160" s="17"/>
      <c r="J160" s="17"/>
      <c r="K160" s="17"/>
      <c r="L160" s="17"/>
      <c r="M160" s="17"/>
      <c r="N160" s="22" t="s">
        <v>43</v>
      </c>
      <c r="O160" s="22"/>
      <c r="P160" s="17"/>
    </row>
    <row r="161" spans="1:16" ht="17.25" customHeight="1">
      <c r="A161" s="14"/>
      <c r="B161" s="16"/>
      <c r="C161" s="17"/>
      <c r="D161" s="16"/>
      <c r="E161" s="17"/>
      <c r="F161" s="17"/>
      <c r="G161" s="17"/>
      <c r="H161" s="17"/>
      <c r="I161" s="17"/>
      <c r="J161" s="17"/>
      <c r="K161" s="17"/>
      <c r="L161" s="17"/>
      <c r="M161" s="17"/>
      <c r="N161" s="22"/>
      <c r="O161" s="22"/>
      <c r="P161" s="17"/>
    </row>
    <row r="162" spans="1:16" ht="15" customHeight="1">
      <c r="A162" s="26" t="str">
        <f t="shared" ref="A162" si="9">IF(ISBLANK($B162),"",$B$2 &amp; ":" &amp; (SUBSTITUTE(SUBSTITUTE(SUBSTITUTE(SUBSTITUTE(SUBSTITUTE(SUBSTITUTE(SUBSTITUTE(SUBSTITUTE(SUBSTITUTE(B162," ",""),"/","Div"),",","-"),"(","-"),")",""),"+","plus"),"--","-")," ",""),"&amp;","-")))</f>
        <v>ACTRIS_ctrl_lists:instrumentstatuscheck</v>
      </c>
      <c r="B162" s="27" t="s">
        <v>233</v>
      </c>
      <c r="C162" s="27"/>
      <c r="D162" s="27"/>
      <c r="E162" s="27" t="s">
        <v>196</v>
      </c>
      <c r="F162" s="27" t="s">
        <v>234</v>
      </c>
      <c r="G162" s="27"/>
      <c r="H162" s="27"/>
      <c r="I162" s="27"/>
      <c r="J162" s="27"/>
      <c r="K162" s="27"/>
      <c r="L162" s="27"/>
      <c r="M162" s="27"/>
      <c r="N162" s="28" t="s">
        <v>43</v>
      </c>
      <c r="O162" s="27"/>
      <c r="P162" s="27"/>
    </row>
    <row r="163" spans="1:16" ht="17.25" customHeight="1">
      <c r="A163" s="14" t="str">
        <f t="shared" si="4"/>
        <v>ACTRIS_ctrl_lists:checkdiagnosticvalues</v>
      </c>
      <c r="B163" s="16" t="s">
        <v>279</v>
      </c>
      <c r="C163" s="17"/>
      <c r="D163" s="16" t="s">
        <v>243</v>
      </c>
      <c r="E163" s="17" t="s">
        <v>251</v>
      </c>
      <c r="F163" s="17"/>
      <c r="G163" s="17"/>
      <c r="H163" s="17" t="s">
        <v>311</v>
      </c>
      <c r="I163" s="17"/>
      <c r="J163" s="17"/>
      <c r="K163" s="17"/>
      <c r="L163" s="17"/>
      <c r="M163" s="17"/>
      <c r="N163" s="22" t="s">
        <v>43</v>
      </c>
      <c r="O163" s="22"/>
      <c r="P163" s="17"/>
    </row>
    <row r="164" spans="1:16" ht="17.25" customHeight="1">
      <c r="A164" s="14" t="str">
        <f t="shared" si="4"/>
        <v>ACTRIS_ctrl_lists:checkcleanlinessofoptics</v>
      </c>
      <c r="B164" s="16" t="s">
        <v>235</v>
      </c>
      <c r="C164" s="17"/>
      <c r="D164" s="16" t="s">
        <v>244</v>
      </c>
      <c r="E164" s="17" t="s">
        <v>251</v>
      </c>
      <c r="F164" s="17"/>
      <c r="G164" s="17"/>
      <c r="H164" s="17" t="s">
        <v>311</v>
      </c>
      <c r="I164" s="17"/>
      <c r="J164" s="17"/>
      <c r="K164" s="17"/>
      <c r="L164" s="17"/>
      <c r="M164" s="17"/>
      <c r="N164" s="22" t="s">
        <v>43</v>
      </c>
      <c r="O164" s="22"/>
      <c r="P164" s="17"/>
    </row>
    <row r="165" spans="1:16" ht="17.25" customHeight="1">
      <c r="A165" s="14" t="str">
        <f t="shared" si="4"/>
        <v>ACTRIS_ctrl_lists:boundarycheck</v>
      </c>
      <c r="B165" s="16" t="s">
        <v>236</v>
      </c>
      <c r="C165" s="17"/>
      <c r="D165" s="16"/>
      <c r="E165" s="17" t="s">
        <v>251</v>
      </c>
      <c r="F165" s="17"/>
      <c r="G165" s="17"/>
      <c r="H165" s="17" t="s">
        <v>311</v>
      </c>
      <c r="I165" s="17"/>
      <c r="J165" s="17"/>
      <c r="K165" s="17"/>
      <c r="L165" s="17"/>
      <c r="M165" s="17"/>
      <c r="N165" s="22" t="s">
        <v>43</v>
      </c>
      <c r="O165" s="22"/>
      <c r="P165" s="17"/>
    </row>
    <row r="166" spans="1:16" ht="17.25" customHeight="1">
      <c r="A166" s="14" t="str">
        <f t="shared" si="4"/>
        <v>ACTRIS_ctrl_lists:checksampleflow</v>
      </c>
      <c r="B166" s="16" t="s">
        <v>237</v>
      </c>
      <c r="C166" s="17"/>
      <c r="D166" s="16" t="s">
        <v>245</v>
      </c>
      <c r="E166" s="17" t="s">
        <v>251</v>
      </c>
      <c r="F166" s="17"/>
      <c r="G166" s="17"/>
      <c r="H166" s="17" t="s">
        <v>311</v>
      </c>
      <c r="I166" s="17"/>
      <c r="J166" s="17"/>
      <c r="K166" s="17"/>
      <c r="L166" s="17"/>
      <c r="M166" s="17"/>
      <c r="N166" s="22" t="s">
        <v>43</v>
      </c>
      <c r="O166" s="22"/>
      <c r="P166" s="17"/>
    </row>
    <row r="167" spans="1:16" ht="17.25" customHeight="1">
      <c r="A167" s="14" t="str">
        <f t="shared" si="4"/>
        <v>ACTRIS_ctrl_lists:checksheathairflow</v>
      </c>
      <c r="B167" s="16" t="s">
        <v>238</v>
      </c>
      <c r="C167" s="17"/>
      <c r="D167" s="16" t="s">
        <v>246</v>
      </c>
      <c r="E167" s="17" t="s">
        <v>251</v>
      </c>
      <c r="F167" s="17"/>
      <c r="G167" s="17"/>
      <c r="H167" s="17" t="s">
        <v>311</v>
      </c>
      <c r="I167" s="17"/>
      <c r="J167" s="17"/>
      <c r="K167" s="17"/>
      <c r="L167" s="17"/>
      <c r="M167" s="17"/>
      <c r="N167" s="22" t="s">
        <v>43</v>
      </c>
      <c r="O167" s="22"/>
      <c r="P167" s="17"/>
    </row>
    <row r="168" spans="1:16" ht="17.25" customHeight="1">
      <c r="A168" s="14" t="str">
        <f t="shared" si="4"/>
        <v>ACTRIS_ctrl_lists:checkdataacquisition</v>
      </c>
      <c r="B168" s="16" t="s">
        <v>239</v>
      </c>
      <c r="C168" s="17"/>
      <c r="D168" s="16" t="s">
        <v>247</v>
      </c>
      <c r="E168" s="17" t="s">
        <v>251</v>
      </c>
      <c r="F168" s="17"/>
      <c r="G168" s="17"/>
      <c r="H168" s="17" t="s">
        <v>311</v>
      </c>
      <c r="I168" s="17"/>
      <c r="J168" s="17"/>
      <c r="K168" s="17"/>
      <c r="L168" s="17"/>
      <c r="M168" s="17"/>
      <c r="N168" s="22" t="s">
        <v>43</v>
      </c>
      <c r="O168" s="22"/>
      <c r="P168" s="17"/>
    </row>
    <row r="169" spans="1:16" ht="17.25" customHeight="1">
      <c r="A169" s="14" t="str">
        <f t="shared" si="4"/>
        <v>ACTRIS_ctrl_lists:checkoperatingfluids</v>
      </c>
      <c r="B169" s="16" t="s">
        <v>240</v>
      </c>
      <c r="C169" s="17"/>
      <c r="D169" s="16" t="s">
        <v>248</v>
      </c>
      <c r="E169" s="17" t="s">
        <v>251</v>
      </c>
      <c r="F169" s="17"/>
      <c r="G169" s="17"/>
      <c r="H169" s="17" t="s">
        <v>311</v>
      </c>
      <c r="I169" s="17"/>
      <c r="J169" s="17"/>
      <c r="K169" s="17"/>
      <c r="L169" s="17"/>
      <c r="M169" s="17"/>
      <c r="N169" s="22" t="s">
        <v>43</v>
      </c>
      <c r="O169" s="22"/>
      <c r="P169" s="17"/>
    </row>
    <row r="170" spans="1:16" ht="17.25" customHeight="1">
      <c r="A170" s="14" t="str">
        <f t="shared" si="4"/>
        <v>ACTRIS_ctrl_lists:checkfiltertapelength</v>
      </c>
      <c r="B170" s="16" t="s">
        <v>241</v>
      </c>
      <c r="C170" s="17"/>
      <c r="D170" s="16" t="s">
        <v>249</v>
      </c>
      <c r="E170" s="17" t="s">
        <v>251</v>
      </c>
      <c r="F170" s="17"/>
      <c r="G170" s="17"/>
      <c r="H170" s="17" t="s">
        <v>311</v>
      </c>
      <c r="I170" s="17"/>
      <c r="J170" s="17"/>
      <c r="K170" s="17"/>
      <c r="L170" s="17"/>
      <c r="M170" s="17"/>
      <c r="N170" s="22" t="s">
        <v>43</v>
      </c>
      <c r="O170" s="22"/>
      <c r="P170" s="17"/>
    </row>
    <row r="171" spans="1:16" ht="17.25" customHeight="1">
      <c r="A171" s="14" t="str">
        <f t="shared" si="4"/>
        <v>ACTRIS_ctrl_lists:checktransmittancedecrease</v>
      </c>
      <c r="B171" s="16" t="s">
        <v>242</v>
      </c>
      <c r="C171" s="17"/>
      <c r="D171" s="16" t="s">
        <v>250</v>
      </c>
      <c r="E171" s="17" t="s">
        <v>251</v>
      </c>
      <c r="F171" s="17"/>
      <c r="G171" s="17"/>
      <c r="H171" s="17" t="s">
        <v>311</v>
      </c>
      <c r="I171" s="17"/>
      <c r="J171" s="17"/>
      <c r="K171" s="17"/>
      <c r="L171" s="17"/>
      <c r="M171" s="17"/>
      <c r="N171" s="22" t="s">
        <v>43</v>
      </c>
      <c r="O171" s="22"/>
      <c r="P171" s="17"/>
    </row>
    <row r="172" spans="1:16" ht="17.25" customHeight="1">
      <c r="A172" s="14" t="str">
        <f t="shared" si="4"/>
        <v/>
      </c>
      <c r="B172" s="16"/>
      <c r="C172" s="17"/>
      <c r="D172" s="16"/>
      <c r="E172" s="17"/>
      <c r="F172" s="17"/>
      <c r="G172" s="17"/>
      <c r="H172" s="17"/>
      <c r="I172" s="17"/>
      <c r="J172" s="17"/>
      <c r="K172" s="17"/>
      <c r="L172" s="17"/>
      <c r="M172" s="17"/>
      <c r="N172" s="22"/>
      <c r="O172" s="22"/>
      <c r="P172" s="17"/>
    </row>
    <row r="173" spans="1:16" ht="15" customHeight="1">
      <c r="A173" s="26" t="str">
        <f t="shared" si="4"/>
        <v>ACTRIS_ctrl_lists:instrumentperformancecheck</v>
      </c>
      <c r="B173" s="27" t="s">
        <v>252</v>
      </c>
      <c r="C173" s="27"/>
      <c r="D173" s="27"/>
      <c r="E173" s="27" t="s">
        <v>196</v>
      </c>
      <c r="F173" s="27" t="s">
        <v>270</v>
      </c>
      <c r="G173" s="27"/>
      <c r="H173" s="27"/>
      <c r="I173" s="27"/>
      <c r="J173" s="27"/>
      <c r="K173" s="27"/>
      <c r="L173" s="27"/>
      <c r="M173" s="27"/>
      <c r="N173" s="28" t="s">
        <v>43</v>
      </c>
      <c r="O173" s="27"/>
      <c r="P173" s="27"/>
    </row>
    <row r="174" spans="1:16" ht="17.25" customHeight="1">
      <c r="A174" s="14" t="str">
        <f t="shared" si="4"/>
        <v>ACTRIS_ctrl_lists:checkofdetectionefficiency</v>
      </c>
      <c r="B174" s="16" t="s">
        <v>253</v>
      </c>
      <c r="C174" s="17"/>
      <c r="D174" s="16" t="s">
        <v>261</v>
      </c>
      <c r="E174" s="17" t="s">
        <v>269</v>
      </c>
      <c r="F174" s="17"/>
      <c r="G174" s="17"/>
      <c r="H174" s="17" t="s">
        <v>311</v>
      </c>
      <c r="I174" s="17"/>
      <c r="J174" s="17"/>
      <c r="K174" s="17"/>
      <c r="L174" s="17"/>
      <c r="M174" s="17"/>
      <c r="N174" s="22" t="s">
        <v>43</v>
      </c>
      <c r="O174" s="22"/>
      <c r="P174" s="17"/>
    </row>
    <row r="175" spans="1:16" ht="17.25" customHeight="1">
      <c r="A175" s="14" t="str">
        <f t="shared" si="4"/>
        <v>ACTRIS_ctrl_lists:checkofsizingaccuracy</v>
      </c>
      <c r="B175" s="16" t="s">
        <v>254</v>
      </c>
      <c r="C175" s="17"/>
      <c r="D175" s="16" t="s">
        <v>262</v>
      </c>
      <c r="E175" s="17" t="s">
        <v>269</v>
      </c>
      <c r="F175" s="17"/>
      <c r="G175" s="17"/>
      <c r="H175" s="17" t="s">
        <v>311</v>
      </c>
      <c r="I175" s="17"/>
      <c r="J175" s="17"/>
      <c r="K175" s="17"/>
      <c r="L175" s="17"/>
      <c r="M175" s="17"/>
      <c r="N175" s="22" t="s">
        <v>43</v>
      </c>
      <c r="O175" s="22"/>
      <c r="P175" s="17"/>
    </row>
    <row r="176" spans="1:16" ht="17.25" customHeight="1">
      <c r="A176" s="14" t="str">
        <f t="shared" si="4"/>
        <v>ACTRIS_ctrl_lists:checkofbaseline-zerocheck</v>
      </c>
      <c r="B176" s="16" t="s">
        <v>255</v>
      </c>
      <c r="C176" s="17"/>
      <c r="D176" s="16" t="s">
        <v>263</v>
      </c>
      <c r="E176" s="17" t="s">
        <v>269</v>
      </c>
      <c r="F176" s="17"/>
      <c r="G176" s="17"/>
      <c r="H176" s="17" t="s">
        <v>311</v>
      </c>
      <c r="I176" s="17"/>
      <c r="J176" s="17"/>
      <c r="K176" s="17"/>
      <c r="L176" s="17"/>
      <c r="M176" s="17"/>
      <c r="N176" s="22" t="s">
        <v>43</v>
      </c>
      <c r="O176" s="22"/>
      <c r="P176" s="17"/>
    </row>
    <row r="177" spans="1:16" ht="17.25" customHeight="1">
      <c r="A177" s="14" t="str">
        <f t="shared" si="4"/>
        <v>ACTRIS_ctrl_lists:checkofnoise</v>
      </c>
      <c r="B177" s="16" t="s">
        <v>256</v>
      </c>
      <c r="C177" s="17"/>
      <c r="D177" s="16" t="s">
        <v>264</v>
      </c>
      <c r="E177" s="17" t="s">
        <v>269</v>
      </c>
      <c r="F177" s="17"/>
      <c r="G177" s="17"/>
      <c r="H177" s="17" t="s">
        <v>311</v>
      </c>
      <c r="I177" s="17"/>
      <c r="J177" s="17"/>
      <c r="K177" s="17"/>
      <c r="L177" s="17"/>
      <c r="M177" s="17"/>
      <c r="N177" s="22" t="s">
        <v>43</v>
      </c>
      <c r="O177" s="22"/>
      <c r="P177" s="17"/>
    </row>
    <row r="178" spans="1:16" ht="17.25" customHeight="1">
      <c r="A178" s="14" t="str">
        <f t="shared" si="4"/>
        <v>ACTRIS_ctrl_lists:checkofoffset</v>
      </c>
      <c r="B178" s="16" t="s">
        <v>257</v>
      </c>
      <c r="C178" s="17"/>
      <c r="D178" s="16" t="s">
        <v>265</v>
      </c>
      <c r="E178" s="17" t="s">
        <v>269</v>
      </c>
      <c r="F178" s="17"/>
      <c r="G178" s="17"/>
      <c r="H178" s="17" t="s">
        <v>311</v>
      </c>
      <c r="I178" s="17"/>
      <c r="J178" s="17"/>
      <c r="K178" s="17"/>
      <c r="L178" s="17"/>
      <c r="M178" s="17"/>
      <c r="N178" s="22" t="s">
        <v>43</v>
      </c>
      <c r="O178" s="22"/>
      <c r="P178" s="17"/>
    </row>
    <row r="179" spans="1:16" ht="17.25" customHeight="1">
      <c r="A179" s="14" t="str">
        <f t="shared" si="4"/>
        <v>ACTRIS_ctrl_lists:checkoffilterspot</v>
      </c>
      <c r="B179" s="16" t="s">
        <v>258</v>
      </c>
      <c r="C179" s="17"/>
      <c r="D179" s="16" t="s">
        <v>266</v>
      </c>
      <c r="E179" s="17" t="s">
        <v>269</v>
      </c>
      <c r="F179" s="17"/>
      <c r="G179" s="17"/>
      <c r="H179" s="17" t="s">
        <v>311</v>
      </c>
      <c r="I179" s="17"/>
      <c r="J179" s="17"/>
      <c r="K179" s="17"/>
      <c r="L179" s="17"/>
      <c r="M179" s="17"/>
      <c r="N179" s="22" t="s">
        <v>43</v>
      </c>
      <c r="O179" s="22"/>
      <c r="P179" s="17"/>
    </row>
    <row r="180" spans="1:16" ht="17.25" customHeight="1">
      <c r="A180" s="14" t="str">
        <f t="shared" si="4"/>
        <v>ACTRIS_ctrl_lists:checkofhighvoltage</v>
      </c>
      <c r="B180" s="16" t="s">
        <v>259</v>
      </c>
      <c r="C180" s="17"/>
      <c r="D180" s="16" t="s">
        <v>267</v>
      </c>
      <c r="E180" s="17" t="s">
        <v>269</v>
      </c>
      <c r="F180" s="17"/>
      <c r="G180" s="17"/>
      <c r="H180" s="17" t="s">
        <v>311</v>
      </c>
      <c r="I180" s="17"/>
      <c r="J180" s="17"/>
      <c r="K180" s="17"/>
      <c r="L180" s="17"/>
      <c r="M180" s="17"/>
      <c r="N180" s="22" t="s">
        <v>43</v>
      </c>
      <c r="O180" s="22"/>
      <c r="P180" s="17"/>
    </row>
    <row r="181" spans="1:16" ht="17.25" customHeight="1">
      <c r="A181" s="14" t="str">
        <f t="shared" si="4"/>
        <v>ACTRIS_ctrl_lists:highspancheckorspangascheck</v>
      </c>
      <c r="B181" s="16" t="s">
        <v>260</v>
      </c>
      <c r="C181" s="17"/>
      <c r="D181" s="16" t="s">
        <v>268</v>
      </c>
      <c r="E181" s="17" t="s">
        <v>269</v>
      </c>
      <c r="F181" s="17"/>
      <c r="G181" s="17"/>
      <c r="H181" s="17" t="s">
        <v>311</v>
      </c>
      <c r="I181" s="17"/>
      <c r="J181" s="17"/>
      <c r="K181" s="17"/>
      <c r="L181" s="17"/>
      <c r="M181" s="17"/>
      <c r="N181" s="22" t="s">
        <v>43</v>
      </c>
      <c r="O181" s="22"/>
      <c r="P181" s="17"/>
    </row>
    <row r="182" spans="1:16" ht="17.25" customHeight="1">
      <c r="A182" s="14" t="str">
        <f t="shared" si="4"/>
        <v/>
      </c>
      <c r="B182" s="16"/>
      <c r="C182" s="17"/>
      <c r="D182" s="16"/>
      <c r="E182" s="17"/>
      <c r="F182" s="17"/>
      <c r="G182" s="17"/>
      <c r="H182" s="17"/>
      <c r="I182" s="17"/>
      <c r="J182" s="17"/>
      <c r="K182" s="17"/>
      <c r="L182" s="17"/>
      <c r="M182" s="17"/>
      <c r="N182" s="22"/>
      <c r="O182" s="22"/>
      <c r="P182" s="17"/>
    </row>
    <row r="183" spans="1:16" ht="15" customHeight="1">
      <c r="A183" s="26" t="str">
        <f t="shared" ref="A183" si="10">IF(ISBLANK($B183),"",$B$2 &amp; ":" &amp; (SUBSTITUTE(SUBSTITUTE(SUBSTITUTE(SUBSTITUTE(SUBSTITUTE(SUBSTITUTE(SUBSTITUTE(SUBSTITUTE(SUBSTITUTE(B183," ",""),"/","Div"),",","-"),"(","-"),")",""),"+","plus"),"--","-")," ",""),"&amp;","-")))</f>
        <v>ACTRIS_ctrl_lists:instrumentcalibration</v>
      </c>
      <c r="B183" s="27" t="s">
        <v>271</v>
      </c>
      <c r="C183" s="27"/>
      <c r="D183" s="27"/>
      <c r="E183" s="27" t="s">
        <v>196</v>
      </c>
      <c r="F183" s="27" t="s">
        <v>272</v>
      </c>
      <c r="G183" s="27"/>
      <c r="H183" s="27"/>
      <c r="I183" s="27"/>
      <c r="J183" s="27"/>
      <c r="K183" s="27"/>
      <c r="L183" s="27"/>
      <c r="M183" s="27"/>
      <c r="N183" s="28" t="s">
        <v>43</v>
      </c>
      <c r="O183" s="27"/>
      <c r="P183" s="27"/>
    </row>
    <row r="184" spans="1:16" ht="17.25" customHeight="1">
      <c r="A184" s="14" t="str">
        <f t="shared" si="4"/>
        <v>ACTRIS_ctrl_lists:highvoltagecalibration</v>
      </c>
      <c r="B184" s="16" t="s">
        <v>273</v>
      </c>
      <c r="C184" s="17"/>
      <c r="D184" s="16" t="s">
        <v>278</v>
      </c>
      <c r="E184" s="17" t="s">
        <v>277</v>
      </c>
      <c r="F184" s="17"/>
      <c r="G184" s="17"/>
      <c r="H184" s="17" t="s">
        <v>311</v>
      </c>
      <c r="I184" s="17"/>
      <c r="J184" s="17"/>
      <c r="K184" s="17"/>
      <c r="L184" s="17"/>
      <c r="M184" s="17"/>
      <c r="N184" s="22" t="s">
        <v>43</v>
      </c>
      <c r="O184" s="22"/>
      <c r="P184" s="17"/>
    </row>
    <row r="185" spans="1:16" ht="17.25" customHeight="1">
      <c r="A185" s="14" t="str">
        <f t="shared" si="4"/>
        <v>ACTRIS_ctrl_lists:highspancalibration</v>
      </c>
      <c r="B185" s="16" t="s">
        <v>274</v>
      </c>
      <c r="C185" s="17"/>
      <c r="D185" s="16"/>
      <c r="E185" s="17" t="s">
        <v>277</v>
      </c>
      <c r="F185" s="17"/>
      <c r="G185" s="17"/>
      <c r="H185" s="17" t="s">
        <v>311</v>
      </c>
      <c r="I185" s="17"/>
      <c r="J185" s="17"/>
      <c r="K185" s="17"/>
      <c r="L185" s="17"/>
      <c r="M185" s="17"/>
      <c r="N185" s="22" t="s">
        <v>43</v>
      </c>
      <c r="O185" s="22"/>
      <c r="P185" s="17"/>
    </row>
    <row r="186" spans="1:16" ht="17.25" customHeight="1">
      <c r="A186" s="14" t="str">
        <f t="shared" si="4"/>
        <v>ACTRIS_ctrl_lists:flowcalibration</v>
      </c>
      <c r="B186" s="16" t="s">
        <v>275</v>
      </c>
      <c r="C186" s="17"/>
      <c r="D186" s="16" t="s">
        <v>276</v>
      </c>
      <c r="E186" s="17" t="s">
        <v>277</v>
      </c>
      <c r="F186" s="17"/>
      <c r="G186" s="17"/>
      <c r="H186" s="17" t="s">
        <v>311</v>
      </c>
      <c r="I186" s="17"/>
      <c r="J186" s="17"/>
      <c r="K186" s="17"/>
      <c r="L186" s="17"/>
      <c r="M186" s="17"/>
      <c r="N186" s="22" t="s">
        <v>43</v>
      </c>
      <c r="O186" s="22"/>
      <c r="P186" s="17"/>
    </row>
    <row r="187" spans="1:16" ht="17.25" customHeight="1">
      <c r="A187" s="14" t="str">
        <f t="shared" si="4"/>
        <v/>
      </c>
      <c r="B187" s="16"/>
      <c r="C187" s="17"/>
      <c r="D187" s="16"/>
      <c r="E187" s="17"/>
      <c r="F187" s="17"/>
      <c r="G187" s="17"/>
      <c r="H187" s="17"/>
      <c r="I187" s="17"/>
      <c r="J187" s="17"/>
      <c r="K187" s="17"/>
      <c r="L187" s="17"/>
      <c r="M187" s="17"/>
      <c r="N187" s="22"/>
      <c r="O187" s="22"/>
      <c r="P187" s="17"/>
    </row>
    <row r="188" spans="1:16" ht="15" customHeight="1">
      <c r="A188" s="23" t="str">
        <f t="shared" ref="A188:A189" si="11">IF(ISBLANK($B188),"",$B$2 &amp; ":" &amp; (SUBSTITUTE(SUBSTITUTE(SUBSTITUTE(SUBSTITUTE(SUBSTITUTE(SUBSTITUTE(SUBSTITUTE(SUBSTITUTE(SUBSTITUTE(B188," ",""),"/","Div"),",","-"),"(","-"),")",""),"+","plus"),"--","-")," ",""),"&amp;","-")))</f>
        <v>ACTRIS_ctrl_lists:cloudinsitucontrolledlists</v>
      </c>
      <c r="B188" s="24" t="s">
        <v>169</v>
      </c>
      <c r="C188" s="24"/>
      <c r="D188" s="24"/>
      <c r="E188" s="24" t="s">
        <v>171</v>
      </c>
      <c r="F188" s="24"/>
      <c r="G188" s="24"/>
      <c r="H188" s="24"/>
      <c r="I188" s="24"/>
      <c r="J188" s="24"/>
      <c r="K188" s="24"/>
      <c r="L188" s="24"/>
      <c r="M188" s="24"/>
      <c r="N188" s="25" t="s">
        <v>43</v>
      </c>
      <c r="O188" s="24"/>
      <c r="P188" s="24"/>
    </row>
    <row r="189" spans="1:16" ht="15" customHeight="1">
      <c r="A189" s="26" t="str">
        <f t="shared" si="11"/>
        <v/>
      </c>
      <c r="B189" s="27"/>
      <c r="C189" s="27"/>
      <c r="D189" s="27"/>
      <c r="E189" s="27" t="s">
        <v>197</v>
      </c>
      <c r="F189" s="27"/>
      <c r="G189" s="27"/>
      <c r="H189" s="27"/>
      <c r="I189" s="27"/>
      <c r="J189" s="27"/>
      <c r="K189" s="27"/>
      <c r="L189" s="27"/>
      <c r="M189" s="27"/>
      <c r="N189" s="28" t="s">
        <v>43</v>
      </c>
      <c r="O189" s="27"/>
      <c r="P189" s="27"/>
    </row>
    <row r="190" spans="1:16" ht="17.25" customHeight="1">
      <c r="A190" s="14"/>
      <c r="B190" s="16"/>
      <c r="C190" s="17"/>
      <c r="D190" s="16"/>
      <c r="E190" s="17"/>
      <c r="F190" s="17"/>
      <c r="G190" s="17"/>
      <c r="H190" s="17"/>
      <c r="I190" s="17"/>
      <c r="J190" s="17"/>
      <c r="K190" s="17"/>
      <c r="L190" s="17"/>
      <c r="M190" s="17"/>
      <c r="N190" s="22"/>
      <c r="O190" s="22"/>
      <c r="P190" s="17"/>
    </row>
    <row r="191" spans="1:16" ht="17.25" customHeight="1">
      <c r="A191" s="14"/>
      <c r="B191" s="16"/>
      <c r="C191" s="17"/>
      <c r="D191" s="16"/>
      <c r="E191" s="17"/>
      <c r="F191" s="17"/>
      <c r="G191" s="17"/>
      <c r="H191" s="17"/>
      <c r="I191" s="17"/>
      <c r="J191" s="17"/>
      <c r="K191" s="17"/>
      <c r="L191" s="17"/>
      <c r="M191" s="17"/>
      <c r="N191" s="22"/>
      <c r="O191" s="22"/>
      <c r="P191" s="17"/>
    </row>
    <row r="192" spans="1:16" ht="15" customHeight="1">
      <c r="A192" s="23" t="str">
        <f t="shared" ref="A192:A204" si="12">IF(ISBLANK($B192),"",$B$2 &amp; ":" &amp; (SUBSTITUTE(SUBSTITUTE(SUBSTITUTE(SUBSTITUTE(SUBSTITUTE(SUBSTITUTE(SUBSTITUTE(SUBSTITUTE(SUBSTITUTE(B192," ",""),"/","Div"),",","-"),"(","-"),")",""),"+","plus"),"--","-")," ",""),"&amp;","-")))</f>
        <v>ACTRIS_ctrl_lists:reactivetracegasinsitucontrolledlists</v>
      </c>
      <c r="B192" s="24" t="s">
        <v>172</v>
      </c>
      <c r="C192" s="24"/>
      <c r="D192" s="24"/>
      <c r="E192" s="24" t="s">
        <v>171</v>
      </c>
      <c r="F192" s="24"/>
      <c r="G192" s="24"/>
      <c r="H192" s="24"/>
      <c r="I192" s="24"/>
      <c r="J192" s="24"/>
      <c r="K192" s="24"/>
      <c r="L192" s="24"/>
      <c r="M192" s="24"/>
      <c r="N192" s="25" t="s">
        <v>43</v>
      </c>
      <c r="O192" s="24"/>
      <c r="P192" s="24"/>
    </row>
    <row r="193" spans="1:16" ht="15" customHeight="1">
      <c r="A193" s="26" t="str">
        <f t="shared" si="12"/>
        <v>ACTRIS_ctrl_lists:instrumentstatuscheck</v>
      </c>
      <c r="B193" s="27" t="s">
        <v>233</v>
      </c>
      <c r="C193" s="27"/>
      <c r="D193" s="27"/>
      <c r="E193" s="27" t="s">
        <v>198</v>
      </c>
      <c r="F193" s="27" t="s">
        <v>234</v>
      </c>
      <c r="G193" s="27"/>
      <c r="H193" s="27"/>
      <c r="I193" s="27"/>
      <c r="J193" s="27"/>
      <c r="K193" s="27"/>
      <c r="L193" s="27"/>
      <c r="M193" s="27"/>
      <c r="N193" s="28" t="s">
        <v>43</v>
      </c>
      <c r="O193" s="27"/>
      <c r="P193" s="27"/>
    </row>
    <row r="194" spans="1:16" ht="17.25" customHeight="1">
      <c r="A194" s="14" t="str">
        <f t="shared" si="12"/>
        <v>ACTRIS_ctrl_lists:voltagesettingcheck</v>
      </c>
      <c r="B194" s="16" t="s">
        <v>315</v>
      </c>
      <c r="C194" s="17"/>
      <c r="D194" s="16" t="s">
        <v>319</v>
      </c>
      <c r="E194" s="17" t="s">
        <v>251</v>
      </c>
      <c r="F194" s="17"/>
      <c r="G194" s="17"/>
      <c r="H194" s="17" t="s">
        <v>313</v>
      </c>
      <c r="I194" s="17"/>
      <c r="J194" s="17"/>
      <c r="K194" s="17"/>
      <c r="L194" s="17"/>
      <c r="M194" s="17"/>
      <c r="N194" s="32" t="s">
        <v>323</v>
      </c>
      <c r="O194" s="22"/>
      <c r="P194" s="17"/>
    </row>
    <row r="195" spans="1:16" ht="17.25" customHeight="1">
      <c r="A195" s="14" t="str">
        <f t="shared" si="12"/>
        <v>ACTRIS_ctrl_lists:flowsettingcheck</v>
      </c>
      <c r="B195" s="16" t="s">
        <v>316</v>
      </c>
      <c r="C195" s="17"/>
      <c r="D195" s="16" t="s">
        <v>320</v>
      </c>
      <c r="E195" s="17" t="s">
        <v>251</v>
      </c>
      <c r="F195" s="17"/>
      <c r="G195" s="17"/>
      <c r="H195" s="17" t="s">
        <v>313</v>
      </c>
      <c r="I195" s="17"/>
      <c r="J195" s="17"/>
      <c r="K195" s="17"/>
      <c r="L195" s="17"/>
      <c r="M195" s="17"/>
      <c r="N195" s="32" t="s">
        <v>324</v>
      </c>
      <c r="O195" s="22"/>
      <c r="P195" s="17"/>
    </row>
    <row r="196" spans="1:16" ht="17.25" customHeight="1">
      <c r="A196" s="14" t="str">
        <f t="shared" si="12"/>
        <v>ACTRIS_ctrl_lists:pressuresettingcheck</v>
      </c>
      <c r="B196" s="16" t="s">
        <v>317</v>
      </c>
      <c r="C196" s="17"/>
      <c r="D196" s="16" t="s">
        <v>321</v>
      </c>
      <c r="E196" s="17" t="s">
        <v>251</v>
      </c>
      <c r="F196" s="17"/>
      <c r="G196" s="17"/>
      <c r="H196" s="17" t="s">
        <v>313</v>
      </c>
      <c r="I196" s="17"/>
      <c r="J196" s="17"/>
      <c r="K196" s="17"/>
      <c r="L196" s="17"/>
      <c r="M196" s="17"/>
      <c r="N196" s="32" t="s">
        <v>325</v>
      </c>
      <c r="O196" s="22"/>
      <c r="P196" s="17"/>
    </row>
    <row r="197" spans="1:16" ht="17.25" customHeight="1">
      <c r="A197" s="14" t="str">
        <f t="shared" si="12"/>
        <v>ACTRIS_ctrl_lists:instrumentinterferencecheck</v>
      </c>
      <c r="B197" s="16" t="s">
        <v>318</v>
      </c>
      <c r="C197" s="17"/>
      <c r="D197" s="16" t="s">
        <v>322</v>
      </c>
      <c r="E197" s="17" t="s">
        <v>251</v>
      </c>
      <c r="F197" s="17"/>
      <c r="G197" s="17"/>
      <c r="H197" s="17" t="s">
        <v>313</v>
      </c>
      <c r="I197" s="17"/>
      <c r="J197" s="17"/>
      <c r="K197" s="17"/>
      <c r="L197" s="17"/>
      <c r="M197" s="17"/>
      <c r="N197" s="32" t="s">
        <v>326</v>
      </c>
      <c r="O197" s="22"/>
      <c r="P197" s="17"/>
    </row>
    <row r="198" spans="1:16" ht="17.25" customHeight="1">
      <c r="A198" s="14" t="str">
        <f t="shared" si="12"/>
        <v/>
      </c>
      <c r="B198" s="16"/>
      <c r="C198" s="17"/>
      <c r="D198" s="16"/>
      <c r="E198" s="17"/>
      <c r="F198" s="17"/>
      <c r="G198" s="17"/>
      <c r="H198" s="17"/>
      <c r="I198" s="17"/>
      <c r="J198" s="17"/>
      <c r="K198" s="17"/>
      <c r="L198" s="17"/>
      <c r="M198" s="17"/>
      <c r="N198" s="22"/>
      <c r="O198" s="22"/>
      <c r="P198" s="17"/>
    </row>
    <row r="199" spans="1:16" ht="15" customHeight="1">
      <c r="A199" s="26" t="str">
        <f t="shared" ref="A199" si="13">IF(ISBLANK($B199),"",$B$2 &amp; ":" &amp; (SUBSTITUTE(SUBSTITUTE(SUBSTITUTE(SUBSTITUTE(SUBSTITUTE(SUBSTITUTE(SUBSTITUTE(SUBSTITUTE(SUBSTITUTE(B199," ",""),"/","Div"),",","-"),"(","-"),")",""),"+","plus"),"--","-")," ",""),"&amp;","-")))</f>
        <v>ACTRIS_ctrl_lists:stationaudit</v>
      </c>
      <c r="B199" s="27" t="s">
        <v>327</v>
      </c>
      <c r="C199" s="27"/>
      <c r="D199" s="27"/>
      <c r="E199" s="27" t="s">
        <v>198</v>
      </c>
      <c r="F199" s="27" t="s">
        <v>328</v>
      </c>
      <c r="G199" s="27"/>
      <c r="H199" s="27"/>
      <c r="I199" s="27"/>
      <c r="J199" s="27"/>
      <c r="K199" s="27"/>
      <c r="L199" s="27"/>
      <c r="M199" s="27"/>
      <c r="N199" s="28" t="s">
        <v>43</v>
      </c>
      <c r="O199" s="27"/>
      <c r="P199" s="27"/>
    </row>
    <row r="200" spans="1:16" ht="17.25" customHeight="1">
      <c r="A200" s="14" t="str">
        <f t="shared" si="12"/>
        <v>ACTRIS_ctrl_lists:checkifprocessedaccordingtoCiGas-NMHCmeasurementguidelinerequirements</v>
      </c>
      <c r="B200" s="16" t="s">
        <v>329</v>
      </c>
      <c r="C200" s="17"/>
      <c r="D200" s="16" t="s">
        <v>329</v>
      </c>
      <c r="E200" s="17" t="s">
        <v>333</v>
      </c>
      <c r="F200" s="17"/>
      <c r="G200" s="17"/>
      <c r="H200" s="17" t="s">
        <v>313</v>
      </c>
      <c r="I200" s="17"/>
      <c r="J200" s="17"/>
      <c r="K200" s="17"/>
      <c r="L200" s="17"/>
      <c r="M200" s="17"/>
      <c r="N200" s="32" t="s">
        <v>323</v>
      </c>
      <c r="O200" s="22"/>
      <c r="P200" s="17"/>
    </row>
    <row r="201" spans="1:16" ht="17.25" customHeight="1">
      <c r="A201" s="14" t="str">
        <f t="shared" si="12"/>
        <v>ACTRIS_ctrl_lists:checkifprocessedaccordingtoCiGas-VOCmeasurementguidelinerequirements</v>
      </c>
      <c r="B201" s="16" t="s">
        <v>330</v>
      </c>
      <c r="C201" s="17"/>
      <c r="D201" s="16" t="s">
        <v>330</v>
      </c>
      <c r="E201" s="17" t="s">
        <v>333</v>
      </c>
      <c r="F201" s="17"/>
      <c r="G201" s="17"/>
      <c r="H201" s="17" t="s">
        <v>313</v>
      </c>
      <c r="I201" s="17"/>
      <c r="J201" s="17"/>
      <c r="K201" s="17"/>
      <c r="L201" s="17"/>
      <c r="M201" s="17"/>
      <c r="N201" s="32" t="s">
        <v>323</v>
      </c>
      <c r="O201" s="22"/>
      <c r="P201" s="17"/>
    </row>
    <row r="202" spans="1:16" ht="17.25" customHeight="1">
      <c r="A202" s="14" t="str">
        <f t="shared" si="12"/>
        <v>ACTRIS_ctrl_lists:checkifprocessedaccordingtoCiGas-NOxmeasurementguidelinerequirements</v>
      </c>
      <c r="B202" s="16" t="s">
        <v>331</v>
      </c>
      <c r="C202" s="17"/>
      <c r="D202" s="16" t="s">
        <v>331</v>
      </c>
      <c r="E202" s="17" t="s">
        <v>333</v>
      </c>
      <c r="F202" s="17"/>
      <c r="G202" s="17"/>
      <c r="H202" s="17" t="s">
        <v>313</v>
      </c>
      <c r="I202" s="17"/>
      <c r="J202" s="17"/>
      <c r="K202" s="17"/>
      <c r="L202" s="17"/>
      <c r="M202" s="17"/>
      <c r="N202" s="32" t="s">
        <v>323</v>
      </c>
      <c r="O202" s="22"/>
      <c r="P202" s="17"/>
    </row>
    <row r="203" spans="1:16" ht="17.25" customHeight="1">
      <c r="A203" s="14" t="str">
        <f t="shared" si="12"/>
        <v>ACTRIS_ctrl_lists:checkifprocessedaccordingtoCiGas-condensablesmeasurementguidelinerequirements</v>
      </c>
      <c r="B203" s="16" t="s">
        <v>332</v>
      </c>
      <c r="C203" s="17"/>
      <c r="D203" s="16" t="s">
        <v>332</v>
      </c>
      <c r="E203" s="17" t="s">
        <v>333</v>
      </c>
      <c r="F203" s="17"/>
      <c r="G203" s="17"/>
      <c r="H203" s="17" t="s">
        <v>313</v>
      </c>
      <c r="I203" s="17"/>
      <c r="J203" s="17"/>
      <c r="K203" s="17"/>
      <c r="L203" s="17"/>
      <c r="M203" s="17"/>
      <c r="N203" s="32" t="s">
        <v>323</v>
      </c>
      <c r="O203" s="22"/>
      <c r="P203" s="17"/>
    </row>
    <row r="204" spans="1:16" ht="17.25" customHeight="1">
      <c r="A204" s="14" t="str">
        <f t="shared" si="12"/>
        <v/>
      </c>
      <c r="B204" s="16"/>
      <c r="C204" s="17"/>
      <c r="D204" s="16"/>
      <c r="E204" s="17"/>
      <c r="F204" s="17"/>
      <c r="G204" s="17"/>
      <c r="H204" s="17"/>
      <c r="I204" s="17"/>
      <c r="J204" s="17"/>
      <c r="K204" s="17"/>
      <c r="L204" s="17"/>
      <c r="M204" s="17"/>
      <c r="N204" s="22"/>
      <c r="O204" s="22"/>
      <c r="P204" s="17"/>
    </row>
    <row r="205" spans="1:16" ht="15" customHeight="1">
      <c r="A205" s="23" t="str">
        <f t="shared" ref="A205:A215" si="14">IF(ISBLANK($B205),"",$B$2 &amp; ":" &amp; (SUBSTITUTE(SUBSTITUTE(SUBSTITUTE(SUBSTITUTE(SUBSTITUTE(SUBSTITUTE(SUBSTITUTE(SUBSTITUTE(SUBSTITUTE(B205," ",""),"/","Div"),",","-"),"(","-"),")",""),"+","plus"),"--","-")," ",""),"&amp;","-")))</f>
        <v>ACTRIS_ctrl_lists:aerosolremotesensingcontrolledlists</v>
      </c>
      <c r="B205" s="24" t="s">
        <v>173</v>
      </c>
      <c r="C205" s="24"/>
      <c r="D205" s="24"/>
      <c r="E205" s="24" t="s">
        <v>171</v>
      </c>
      <c r="F205" s="24"/>
      <c r="G205" s="24"/>
      <c r="H205" s="24"/>
      <c r="I205" s="24"/>
      <c r="J205" s="24"/>
      <c r="K205" s="24"/>
      <c r="L205" s="24"/>
      <c r="M205" s="24"/>
      <c r="N205" s="25" t="s">
        <v>43</v>
      </c>
      <c r="O205" s="24"/>
      <c r="P205" s="24"/>
    </row>
    <row r="206" spans="1:16" ht="15" customHeight="1">
      <c r="A206" s="26" t="str">
        <f t="shared" si="14"/>
        <v>ACTRIS_ctrl_lists:boundarycheck</v>
      </c>
      <c r="B206" s="27" t="s">
        <v>236</v>
      </c>
      <c r="C206" s="27"/>
      <c r="D206" s="27"/>
      <c r="E206" s="27" t="s">
        <v>199</v>
      </c>
      <c r="F206" s="27" t="s">
        <v>299</v>
      </c>
      <c r="G206" s="27"/>
      <c r="H206" s="27"/>
      <c r="I206" s="27"/>
      <c r="J206" s="27"/>
      <c r="K206" s="27"/>
      <c r="L206" s="27"/>
      <c r="M206" s="27"/>
      <c r="N206" s="28" t="s">
        <v>43</v>
      </c>
      <c r="O206" s="27"/>
      <c r="P206" s="27"/>
    </row>
    <row r="207" spans="1:16" ht="17.25" customHeight="1">
      <c r="A207" s="14" t="str">
        <f t="shared" si="14"/>
        <v>ACTRIS_ctrl_lists:negativeerrorcheck</v>
      </c>
      <c r="B207" s="16" t="s">
        <v>288</v>
      </c>
      <c r="C207" s="16"/>
      <c r="D207" s="16" t="s">
        <v>291</v>
      </c>
      <c r="E207" s="17" t="s">
        <v>290</v>
      </c>
      <c r="F207" s="17"/>
      <c r="G207" s="17"/>
      <c r="H207" s="17" t="s">
        <v>314</v>
      </c>
      <c r="I207" s="17"/>
      <c r="J207" s="17"/>
      <c r="K207" s="17"/>
      <c r="L207" s="17"/>
      <c r="M207" s="17"/>
      <c r="N207" s="22" t="s">
        <v>305</v>
      </c>
      <c r="O207" s="16" t="s">
        <v>306</v>
      </c>
      <c r="P207" s="17"/>
    </row>
    <row r="208" spans="1:16" ht="17.25" customHeight="1">
      <c r="A208" s="14" t="str">
        <f t="shared" si="14"/>
        <v>ACTRIS_ctrl_lists:negativevaluescheck</v>
      </c>
      <c r="B208" s="16" t="s">
        <v>289</v>
      </c>
      <c r="C208" s="16"/>
      <c r="D208" s="16" t="s">
        <v>292</v>
      </c>
      <c r="E208" s="17" t="s">
        <v>290</v>
      </c>
      <c r="F208" s="17"/>
      <c r="G208" s="17"/>
      <c r="H208" s="17" t="s">
        <v>314</v>
      </c>
      <c r="I208" s="17"/>
      <c r="J208" s="17"/>
      <c r="K208" s="17"/>
      <c r="L208" s="17"/>
      <c r="M208" s="17"/>
      <c r="N208" s="22" t="s">
        <v>305</v>
      </c>
      <c r="O208" s="16" t="s">
        <v>306</v>
      </c>
      <c r="P208" s="17"/>
    </row>
    <row r="209" spans="1:16" ht="17.25" customHeight="1">
      <c r="A209" s="14" t="str">
        <f t="shared" si="14"/>
        <v>ACTRIS_ctrl_lists:checkonAerosolOpticalDepth</v>
      </c>
      <c r="B209" s="16" t="s">
        <v>282</v>
      </c>
      <c r="C209" s="16"/>
      <c r="D209" s="16" t="s">
        <v>293</v>
      </c>
      <c r="E209" s="17" t="s">
        <v>290</v>
      </c>
      <c r="F209" s="17"/>
      <c r="G209" s="17"/>
      <c r="H209" s="17" t="s">
        <v>314</v>
      </c>
      <c r="I209" s="17"/>
      <c r="J209" s="17"/>
      <c r="K209" s="17"/>
      <c r="L209" s="17"/>
      <c r="M209" s="17"/>
      <c r="N209" s="22" t="s">
        <v>305</v>
      </c>
      <c r="O209" s="16" t="s">
        <v>306</v>
      </c>
      <c r="P209" s="17"/>
    </row>
    <row r="210" spans="1:16" ht="17.25" customHeight="1">
      <c r="A210" s="14" t="str">
        <f t="shared" si="14"/>
        <v>ACTRIS_ctrl_lists:checkonIntegratedBackscatter</v>
      </c>
      <c r="B210" s="16" t="s">
        <v>283</v>
      </c>
      <c r="C210" s="16"/>
      <c r="D210" s="16" t="s">
        <v>294</v>
      </c>
      <c r="E210" s="17" t="s">
        <v>290</v>
      </c>
      <c r="F210" s="17"/>
      <c r="G210" s="17"/>
      <c r="H210" s="17" t="s">
        <v>314</v>
      </c>
      <c r="I210" s="17"/>
      <c r="J210" s="17"/>
      <c r="K210" s="17"/>
      <c r="L210" s="17"/>
      <c r="M210" s="17"/>
      <c r="N210" s="22" t="s">
        <v>305</v>
      </c>
      <c r="O210" s="16" t="s">
        <v>306</v>
      </c>
      <c r="P210" s="17"/>
    </row>
    <row r="211" spans="1:16" ht="17.25" customHeight="1">
      <c r="A211" s="14" t="str">
        <f t="shared" si="14"/>
        <v>ACTRIS_ctrl_lists:checkonlidarratio</v>
      </c>
      <c r="B211" s="16" t="s">
        <v>284</v>
      </c>
      <c r="C211" s="16"/>
      <c r="D211" s="16" t="s">
        <v>295</v>
      </c>
      <c r="E211" s="17" t="s">
        <v>290</v>
      </c>
      <c r="F211" s="17"/>
      <c r="G211" s="17"/>
      <c r="H211" s="17" t="s">
        <v>314</v>
      </c>
      <c r="I211" s="17"/>
      <c r="J211" s="17"/>
      <c r="K211" s="17"/>
      <c r="L211" s="17"/>
      <c r="M211" s="17"/>
      <c r="N211" s="22" t="s">
        <v>305</v>
      </c>
      <c r="O211" s="16" t="s">
        <v>306</v>
      </c>
      <c r="P211" s="17"/>
    </row>
    <row r="212" spans="1:16" ht="17.25" customHeight="1">
      <c r="A212" s="14" t="str">
        <f t="shared" si="14"/>
        <v>ACTRIS_ctrl_lists:checkonvolumedepolarization</v>
      </c>
      <c r="B212" s="16" t="s">
        <v>286</v>
      </c>
      <c r="C212" s="16"/>
      <c r="D212" s="16" t="s">
        <v>296</v>
      </c>
      <c r="E212" s="17" t="s">
        <v>290</v>
      </c>
      <c r="F212" s="17"/>
      <c r="G212" s="17"/>
      <c r="H212" s="17" t="s">
        <v>314</v>
      </c>
      <c r="I212" s="17"/>
      <c r="J212" s="17"/>
      <c r="K212" s="17"/>
      <c r="L212" s="17"/>
      <c r="M212" s="17"/>
      <c r="N212" s="22" t="s">
        <v>305</v>
      </c>
      <c r="O212" s="16" t="s">
        <v>306</v>
      </c>
      <c r="P212" s="17"/>
    </row>
    <row r="213" spans="1:16" ht="17.25" customHeight="1">
      <c r="A213" s="14" t="str">
        <f t="shared" si="14"/>
        <v>ACTRIS_ctrl_lists:checkonparticledepolarization</v>
      </c>
      <c r="B213" s="16" t="s">
        <v>285</v>
      </c>
      <c r="C213" s="16"/>
      <c r="D213" s="16" t="s">
        <v>297</v>
      </c>
      <c r="E213" s="17" t="s">
        <v>290</v>
      </c>
      <c r="F213" s="17"/>
      <c r="G213" s="17"/>
      <c r="H213" s="17" t="s">
        <v>314</v>
      </c>
      <c r="I213" s="17"/>
      <c r="J213" s="17"/>
      <c r="K213" s="17"/>
      <c r="L213" s="17"/>
      <c r="M213" s="17"/>
      <c r="N213" s="22" t="s">
        <v>305</v>
      </c>
      <c r="O213" s="16" t="s">
        <v>306</v>
      </c>
      <c r="P213" s="17"/>
    </row>
    <row r="214" spans="1:16" ht="17.25" customHeight="1">
      <c r="A214" s="14" t="str">
        <f t="shared" si="14"/>
        <v>ACTRIS_ctrl_lists:checkonwatervapormixingratio</v>
      </c>
      <c r="B214" s="16" t="s">
        <v>287</v>
      </c>
      <c r="C214" s="16"/>
      <c r="D214" s="16" t="s">
        <v>298</v>
      </c>
      <c r="E214" s="17" t="s">
        <v>290</v>
      </c>
      <c r="F214" s="17"/>
      <c r="G214" s="17"/>
      <c r="H214" s="17" t="s">
        <v>314</v>
      </c>
      <c r="I214" s="17"/>
      <c r="J214" s="17"/>
      <c r="K214" s="17"/>
      <c r="L214" s="17"/>
      <c r="M214" s="17"/>
      <c r="N214" s="22" t="s">
        <v>305</v>
      </c>
      <c r="O214" s="16" t="s">
        <v>306</v>
      </c>
      <c r="P214" s="17"/>
    </row>
    <row r="215" spans="1:16" ht="17.25" customHeight="1">
      <c r="A215" s="14" t="str">
        <f t="shared" si="14"/>
        <v/>
      </c>
      <c r="B215" s="16"/>
      <c r="C215" s="17"/>
      <c r="D215" s="16"/>
      <c r="E215" s="17"/>
      <c r="F215" s="17"/>
      <c r="G215" s="17"/>
      <c r="H215" s="17"/>
      <c r="I215" s="17"/>
      <c r="J215" s="17"/>
      <c r="K215" s="17"/>
      <c r="L215" s="17"/>
      <c r="M215" s="17"/>
      <c r="N215" s="22"/>
      <c r="O215" s="22"/>
      <c r="P215" s="17"/>
    </row>
    <row r="216" spans="1:16" ht="15" customHeight="1">
      <c r="A216" s="26" t="str">
        <f t="shared" ref="A216:A219" si="15">IF(ISBLANK($B216),"",$B$2 &amp; ":" &amp; (SUBSTITUTE(SUBSTITUTE(SUBSTITUTE(SUBSTITUTE(SUBSTITUTE(SUBSTITUTE(SUBSTITUTE(SUBSTITUTE(SUBSTITUTE(B216," ",""),"/","Div"),",","-"),"(","-"),")",""),"+","plus"),"--","-")," ",""),"&amp;","-")))</f>
        <v>ACTRIS_ctrl_lists:combinedassessment</v>
      </c>
      <c r="B216" s="27" t="s">
        <v>280</v>
      </c>
      <c r="C216" s="27"/>
      <c r="D216" s="27"/>
      <c r="E216" s="27" t="s">
        <v>199</v>
      </c>
      <c r="F216" s="27" t="s">
        <v>334</v>
      </c>
      <c r="G216" s="27"/>
      <c r="H216" s="27"/>
      <c r="I216" s="27"/>
      <c r="J216" s="27"/>
      <c r="K216" s="27"/>
      <c r="L216" s="27"/>
      <c r="M216" s="27"/>
      <c r="N216" s="28" t="s">
        <v>43</v>
      </c>
      <c r="O216" s="27"/>
      <c r="P216" s="27"/>
    </row>
    <row r="217" spans="1:16" ht="17.25" customHeight="1">
      <c r="A217" s="14" t="str">
        <f t="shared" si="15"/>
        <v>ACTRIS_ctrl_lists:Earlinetlegacydatalabeledascirruscontaminated</v>
      </c>
      <c r="B217" s="16" t="s">
        <v>300</v>
      </c>
      <c r="C217" s="16"/>
      <c r="D217" s="16" t="s">
        <v>301</v>
      </c>
      <c r="E217" s="17" t="s">
        <v>304</v>
      </c>
      <c r="F217" s="17"/>
      <c r="G217" s="17"/>
      <c r="H217" s="17" t="s">
        <v>314</v>
      </c>
      <c r="I217" s="17"/>
      <c r="J217" s="17"/>
      <c r="K217" s="17"/>
      <c r="L217" s="17"/>
      <c r="M217" s="17"/>
      <c r="N217" s="22" t="s">
        <v>305</v>
      </c>
      <c r="O217" s="16" t="s">
        <v>306</v>
      </c>
      <c r="P217" s="17"/>
    </row>
    <row r="218" spans="1:16" ht="17.25" customHeight="1">
      <c r="A218" s="14" t="str">
        <f t="shared" si="15"/>
        <v>ACTRIS_ctrl_lists:checkonatmosphericmolecularcalculationsource</v>
      </c>
      <c r="B218" s="16" t="s">
        <v>302</v>
      </c>
      <c r="C218" s="16"/>
      <c r="D218" s="16" t="s">
        <v>303</v>
      </c>
      <c r="E218" s="17" t="s">
        <v>304</v>
      </c>
      <c r="F218" s="17"/>
      <c r="G218" s="17"/>
      <c r="H218" s="17" t="s">
        <v>314</v>
      </c>
      <c r="I218" s="17"/>
      <c r="J218" s="17"/>
      <c r="K218" s="17"/>
      <c r="L218" s="17"/>
      <c r="M218" s="17"/>
      <c r="N218" s="22" t="s">
        <v>305</v>
      </c>
      <c r="O218" s="16" t="s">
        <v>306</v>
      </c>
      <c r="P218" s="17"/>
    </row>
    <row r="219" spans="1:16" ht="17.25" customHeight="1">
      <c r="A219" s="14" t="str">
        <f t="shared" si="15"/>
        <v/>
      </c>
      <c r="B219" s="16"/>
      <c r="C219" s="17"/>
      <c r="D219" s="16"/>
      <c r="E219" s="17"/>
      <c r="F219" s="17"/>
      <c r="G219" s="17"/>
      <c r="H219" s="17"/>
      <c r="I219" s="17"/>
      <c r="J219" s="17"/>
      <c r="K219" s="17"/>
      <c r="L219" s="17"/>
      <c r="M219" s="17"/>
      <c r="N219" s="22"/>
      <c r="O219" s="22"/>
      <c r="P219" s="17"/>
    </row>
    <row r="220" spans="1:16" ht="15" customHeight="1">
      <c r="A220" s="26" t="str">
        <f t="shared" ref="A220:A221" si="16">IF(ISBLANK($B220),"",$B$2 &amp; ":" &amp; (SUBSTITUTE(SUBSTITUTE(SUBSTITUTE(SUBSTITUTE(SUBSTITUTE(SUBSTITUTE(SUBSTITUTE(SUBSTITUTE(SUBSTITUTE(B220," ",""),"/","Div"),",","-"),"(","-"),")",""),"+","plus"),"--","-")," ",""),"&amp;","-")))</f>
        <v>ACTRIS_ctrl_lists:physicaldependencecheck</v>
      </c>
      <c r="B220" s="27" t="s">
        <v>281</v>
      </c>
      <c r="C220" s="27"/>
      <c r="D220" s="27"/>
      <c r="E220" s="27" t="s">
        <v>199</v>
      </c>
      <c r="F220" s="27" t="s">
        <v>309</v>
      </c>
      <c r="G220" s="27"/>
      <c r="H220" s="27"/>
      <c r="I220" s="27"/>
      <c r="J220" s="27"/>
      <c r="K220" s="27"/>
      <c r="L220" s="27"/>
      <c r="M220" s="27"/>
      <c r="N220" s="28" t="s">
        <v>43</v>
      </c>
      <c r="O220" s="27"/>
      <c r="P220" s="27"/>
    </row>
    <row r="221" spans="1:16" ht="17.25" customHeight="1">
      <c r="A221" s="14" t="str">
        <f t="shared" si="16"/>
        <v>ACTRIS_ctrl_lists:consistencyofdifferentopticalproperties</v>
      </c>
      <c r="B221" s="16" t="s">
        <v>307</v>
      </c>
      <c r="C221" s="16"/>
      <c r="D221" s="16" t="s">
        <v>308</v>
      </c>
      <c r="E221" s="16" t="s">
        <v>310</v>
      </c>
      <c r="F221" s="16"/>
      <c r="G221" s="16"/>
      <c r="H221" s="17" t="s">
        <v>314</v>
      </c>
      <c r="I221" s="16"/>
      <c r="J221" s="16"/>
      <c r="K221" s="16"/>
      <c r="L221" s="16"/>
      <c r="M221" s="16"/>
      <c r="N221" s="22" t="s">
        <v>305</v>
      </c>
      <c r="O221" s="16" t="s">
        <v>306</v>
      </c>
      <c r="P221" s="17"/>
    </row>
    <row r="222" spans="1:16" ht="17.25" customHeight="1">
      <c r="A222" s="14"/>
      <c r="B222" s="16"/>
      <c r="C222" s="16"/>
      <c r="D222" s="16"/>
      <c r="E222" s="16"/>
      <c r="F222" s="16"/>
      <c r="G222" s="16"/>
      <c r="H222" s="17"/>
      <c r="I222" s="16"/>
      <c r="J222" s="16"/>
      <c r="K222" s="16"/>
      <c r="L222" s="16"/>
      <c r="M222" s="16"/>
      <c r="N222" s="22"/>
      <c r="O222" s="16"/>
      <c r="P222" s="17"/>
    </row>
    <row r="223" spans="1:16" ht="15" customHeight="1">
      <c r="A223" s="26" t="str">
        <f t="shared" ref="A223:A239" si="17">IF(ISBLANK($B223),"",$B$2 &amp; ":" &amp; (SUBSTITUTE(SUBSTITUTE(SUBSTITUTE(SUBSTITUTE(SUBSTITUTE(SUBSTITUTE(SUBSTITUTE(SUBSTITUTE(SUBSTITUTE(B223," ",""),"/","Div"),",","-"),"(","-"),")",""),"+","plus"),"--","-")," ",""),"&amp;","-")))</f>
        <v>ACTRIS_ctrl_lists:instrumentstatuscheck</v>
      </c>
      <c r="B223" s="27" t="s">
        <v>233</v>
      </c>
      <c r="C223" s="27"/>
      <c r="D223" s="27"/>
      <c r="E223" s="27" t="s">
        <v>199</v>
      </c>
      <c r="F223" s="27" t="s">
        <v>234</v>
      </c>
      <c r="G223" s="27"/>
      <c r="H223" s="27"/>
      <c r="I223" s="27"/>
      <c r="J223" s="27"/>
      <c r="K223" s="27"/>
      <c r="L223" s="27"/>
      <c r="M223" s="27"/>
      <c r="N223" s="28" t="s">
        <v>43</v>
      </c>
      <c r="O223" s="27"/>
      <c r="P223" s="27"/>
    </row>
    <row r="224" spans="1:16" ht="17.25" customHeight="1">
      <c r="A224" s="14" t="str">
        <f t="shared" si="17"/>
        <v>ACTRIS_ctrl_lists:batterylevelcheck</v>
      </c>
      <c r="B224" s="16" t="s">
        <v>335</v>
      </c>
      <c r="C224" s="16"/>
      <c r="D224" s="16" t="s">
        <v>336</v>
      </c>
      <c r="E224" s="16" t="s">
        <v>251</v>
      </c>
      <c r="F224" s="16"/>
      <c r="G224" s="16"/>
      <c r="H224" s="17" t="s">
        <v>314</v>
      </c>
      <c r="I224" s="16"/>
      <c r="J224" s="16"/>
      <c r="K224" s="16"/>
      <c r="L224" s="16"/>
      <c r="M224" s="16"/>
      <c r="N224" s="22" t="s">
        <v>305</v>
      </c>
      <c r="O224" s="16" t="s">
        <v>337</v>
      </c>
      <c r="P224" s="17"/>
    </row>
    <row r="225" spans="1:16" ht="17.25" customHeight="1">
      <c r="A225" s="14" t="str">
        <f t="shared" si="17"/>
        <v>ACTRIS_ctrl_lists:trackingsystemcheck</v>
      </c>
      <c r="B225" s="16" t="s">
        <v>338</v>
      </c>
      <c r="C225" s="16"/>
      <c r="D225" s="16" t="s">
        <v>339</v>
      </c>
      <c r="E225" s="16" t="s">
        <v>251</v>
      </c>
      <c r="F225" s="16"/>
      <c r="G225" s="16"/>
      <c r="H225" s="17" t="s">
        <v>314</v>
      </c>
      <c r="I225" s="16"/>
      <c r="J225" s="16"/>
      <c r="K225" s="16"/>
      <c r="L225" s="16"/>
      <c r="M225" s="16"/>
      <c r="N225" s="22" t="s">
        <v>305</v>
      </c>
      <c r="O225" s="16" t="s">
        <v>337</v>
      </c>
      <c r="P225" s="17"/>
    </row>
    <row r="226" spans="1:16" ht="17.25" customHeight="1">
      <c r="A226" s="14" t="str">
        <f t="shared" si="17"/>
        <v>ACTRIS_ctrl_lists:humiditysensorcheck</v>
      </c>
      <c r="B226" s="16" t="s">
        <v>340</v>
      </c>
      <c r="C226" s="16"/>
      <c r="D226" s="16" t="s">
        <v>341</v>
      </c>
      <c r="E226" s="16" t="s">
        <v>251</v>
      </c>
      <c r="F226" s="16"/>
      <c r="G226" s="16"/>
      <c r="H226" s="17" t="s">
        <v>314</v>
      </c>
      <c r="I226" s="16"/>
      <c r="J226" s="16"/>
      <c r="K226" s="16"/>
      <c r="L226" s="16"/>
      <c r="M226" s="16"/>
      <c r="N226" s="22" t="s">
        <v>305</v>
      </c>
      <c r="O226" s="16" t="s">
        <v>337</v>
      </c>
      <c r="P226" s="17"/>
    </row>
    <row r="227" spans="1:16" ht="17.25" customHeight="1">
      <c r="A227" s="14" t="str">
        <f t="shared" si="17"/>
        <v>ACTRIS_ctrl_lists:temperaturesensorcheck</v>
      </c>
      <c r="B227" s="16" t="s">
        <v>342</v>
      </c>
      <c r="C227" s="16"/>
      <c r="D227" s="16" t="s">
        <v>343</v>
      </c>
      <c r="E227" s="16" t="s">
        <v>251</v>
      </c>
      <c r="F227" s="16"/>
      <c r="G227" s="16"/>
      <c r="H227" s="17" t="s">
        <v>314</v>
      </c>
      <c r="I227" s="16"/>
      <c r="J227" s="16"/>
      <c r="K227" s="16"/>
      <c r="L227" s="16"/>
      <c r="M227" s="16"/>
      <c r="N227" s="22" t="s">
        <v>305</v>
      </c>
      <c r="O227" s="16" t="s">
        <v>337</v>
      </c>
      <c r="P227" s="17"/>
    </row>
    <row r="228" spans="1:16" ht="17.25" customHeight="1">
      <c r="A228" s="14" t="str">
        <f t="shared" si="17"/>
        <v>ACTRIS_ctrl_lists:calibrationshiftcheck</v>
      </c>
      <c r="B228" s="16" t="s">
        <v>344</v>
      </c>
      <c r="C228" s="16"/>
      <c r="D228" s="16" t="s">
        <v>345</v>
      </c>
      <c r="E228" s="16" t="s">
        <v>251</v>
      </c>
      <c r="F228" s="16"/>
      <c r="G228" s="16"/>
      <c r="H228" s="17" t="s">
        <v>314</v>
      </c>
      <c r="I228" s="16"/>
      <c r="J228" s="16"/>
      <c r="K228" s="16"/>
      <c r="L228" s="16"/>
      <c r="M228" s="16"/>
      <c r="N228" s="22" t="s">
        <v>305</v>
      </c>
      <c r="O228" s="16" t="s">
        <v>337</v>
      </c>
      <c r="P228" s="17"/>
    </row>
    <row r="229" spans="1:16" ht="17.25" customHeight="1">
      <c r="A229" s="14" t="str">
        <f t="shared" si="17"/>
        <v>ACTRIS_ctrl_lists:opticscheck</v>
      </c>
      <c r="B229" s="16" t="s">
        <v>346</v>
      </c>
      <c r="C229" s="16"/>
      <c r="D229" s="16" t="s">
        <v>347</v>
      </c>
      <c r="E229" s="16" t="s">
        <v>251</v>
      </c>
      <c r="F229" s="16"/>
      <c r="G229" s="16"/>
      <c r="H229" s="17" t="s">
        <v>314</v>
      </c>
      <c r="I229" s="16"/>
      <c r="J229" s="16"/>
      <c r="K229" s="16"/>
      <c r="L229" s="16"/>
      <c r="M229" s="16"/>
      <c r="N229" s="22" t="s">
        <v>305</v>
      </c>
      <c r="O229" s="16" t="s">
        <v>337</v>
      </c>
      <c r="P229" s="17"/>
    </row>
    <row r="230" spans="1:16" ht="17.25" customHeight="1">
      <c r="A230" s="14" t="str">
        <f t="shared" si="17"/>
        <v>ACTRIS_ctrl_lists:collimatorcheck</v>
      </c>
      <c r="B230" s="16" t="s">
        <v>348</v>
      </c>
      <c r="C230" s="16"/>
      <c r="D230" s="16" t="s">
        <v>349</v>
      </c>
      <c r="E230" s="16" t="s">
        <v>251</v>
      </c>
      <c r="F230" s="16"/>
      <c r="G230" s="16"/>
      <c r="H230" s="17" t="s">
        <v>314</v>
      </c>
      <c r="I230" s="16"/>
      <c r="J230" s="16"/>
      <c r="K230" s="16"/>
      <c r="L230" s="16"/>
      <c r="M230" s="16"/>
      <c r="N230" s="22" t="s">
        <v>305</v>
      </c>
      <c r="O230" s="16" t="s">
        <v>337</v>
      </c>
      <c r="P230" s="17"/>
    </row>
    <row r="231" spans="1:16" ht="17.25" customHeight="1">
      <c r="A231" s="14" t="str">
        <f t="shared" si="17"/>
        <v>ACTRIS_ctrl_lists:systemcablingcheck</v>
      </c>
      <c r="B231" s="16" t="s">
        <v>350</v>
      </c>
      <c r="C231" s="16"/>
      <c r="D231" s="16" t="s">
        <v>351</v>
      </c>
      <c r="E231" s="16" t="s">
        <v>251</v>
      </c>
      <c r="F231" s="16"/>
      <c r="G231" s="16"/>
      <c r="H231" s="17" t="s">
        <v>314</v>
      </c>
      <c r="I231" s="16"/>
      <c r="J231" s="16"/>
      <c r="K231" s="16"/>
      <c r="L231" s="16"/>
      <c r="M231" s="16"/>
      <c r="N231" s="22" t="s">
        <v>305</v>
      </c>
      <c r="O231" s="16" t="s">
        <v>337</v>
      </c>
      <c r="P231" s="17"/>
    </row>
    <row r="232" spans="1:16" ht="17.25" customHeight="1">
      <c r="A232" s="14" t="str">
        <f t="shared" si="17"/>
        <v>ACTRIS_ctrl_lists:telecovertest</v>
      </c>
      <c r="B232" s="16" t="s">
        <v>352</v>
      </c>
      <c r="C232" s="16"/>
      <c r="D232" s="16" t="s">
        <v>353</v>
      </c>
      <c r="E232" s="16" t="s">
        <v>251</v>
      </c>
      <c r="F232" s="16"/>
      <c r="G232" s="16"/>
      <c r="H232" s="17" t="s">
        <v>314</v>
      </c>
      <c r="I232" s="16"/>
      <c r="J232" s="16"/>
      <c r="K232" s="16"/>
      <c r="L232" s="16"/>
      <c r="M232" s="16"/>
      <c r="N232" s="22" t="s">
        <v>305</v>
      </c>
      <c r="O232" s="16" t="s">
        <v>337</v>
      </c>
      <c r="P232" s="17"/>
    </row>
    <row r="233" spans="1:16" ht="17.25" customHeight="1">
      <c r="A233" s="14" t="str">
        <f t="shared" si="17"/>
        <v>ACTRIS_ctrl_lists:Rayleightfittest</v>
      </c>
      <c r="B233" s="16" t="s">
        <v>354</v>
      </c>
      <c r="C233" s="16"/>
      <c r="D233" s="16" t="s">
        <v>355</v>
      </c>
      <c r="E233" s="16" t="s">
        <v>251</v>
      </c>
      <c r="F233" s="16"/>
      <c r="G233" s="16"/>
      <c r="H233" s="17" t="s">
        <v>314</v>
      </c>
      <c r="I233" s="16"/>
      <c r="J233" s="16"/>
      <c r="K233" s="16"/>
      <c r="L233" s="16"/>
      <c r="M233" s="16"/>
      <c r="N233" s="22" t="s">
        <v>305</v>
      </c>
      <c r="O233" s="16" t="s">
        <v>337</v>
      </c>
      <c r="P233" s="17"/>
    </row>
    <row r="234" spans="1:16" ht="17.25" customHeight="1">
      <c r="A234" s="14" t="str">
        <f t="shared" si="17"/>
        <v>ACTRIS_ctrl_lists:fulloverlapminimumheighttest</v>
      </c>
      <c r="B234" s="16" t="s">
        <v>356</v>
      </c>
      <c r="C234" s="16"/>
      <c r="D234" s="16" t="s">
        <v>357</v>
      </c>
      <c r="E234" s="16" t="s">
        <v>251</v>
      </c>
      <c r="F234" s="16"/>
      <c r="G234" s="16"/>
      <c r="H234" s="17" t="s">
        <v>314</v>
      </c>
      <c r="I234" s="16"/>
      <c r="J234" s="16"/>
      <c r="K234" s="16"/>
      <c r="L234" s="16"/>
      <c r="M234" s="16"/>
      <c r="N234" s="22" t="s">
        <v>305</v>
      </c>
      <c r="O234" s="16" t="s">
        <v>337</v>
      </c>
      <c r="P234" s="17"/>
    </row>
    <row r="235" spans="1:16" ht="17.25" customHeight="1">
      <c r="A235" s="14" t="str">
        <f t="shared" si="17"/>
        <v>ACTRIS_ctrl_lists:triggerdelaytest</v>
      </c>
      <c r="B235" s="16" t="s">
        <v>358</v>
      </c>
      <c r="C235" s="16"/>
      <c r="D235" s="16" t="s">
        <v>359</v>
      </c>
      <c r="E235" s="16" t="s">
        <v>251</v>
      </c>
      <c r="F235" s="16"/>
      <c r="G235" s="16"/>
      <c r="H235" s="17" t="s">
        <v>314</v>
      </c>
      <c r="I235" s="16"/>
      <c r="J235" s="16"/>
      <c r="K235" s="16"/>
      <c r="L235" s="16"/>
      <c r="M235" s="16"/>
      <c r="N235" s="22" t="s">
        <v>305</v>
      </c>
      <c r="O235" s="16" t="s">
        <v>337</v>
      </c>
      <c r="P235" s="17"/>
    </row>
    <row r="236" spans="1:16" ht="17.25" customHeight="1">
      <c r="A236" s="14" t="str">
        <f t="shared" si="17"/>
        <v>ACTRIS_ctrl_lists:darkcurrenttest</v>
      </c>
      <c r="B236" s="16" t="s">
        <v>360</v>
      </c>
      <c r="C236" s="16"/>
      <c r="D236" s="16" t="s">
        <v>361</v>
      </c>
      <c r="E236" s="16" t="s">
        <v>251</v>
      </c>
      <c r="F236" s="16"/>
      <c r="G236" s="16"/>
      <c r="H236" s="17" t="s">
        <v>314</v>
      </c>
      <c r="I236" s="16"/>
      <c r="J236" s="16"/>
      <c r="K236" s="16"/>
      <c r="L236" s="16"/>
      <c r="M236" s="16"/>
      <c r="N236" s="22" t="s">
        <v>305</v>
      </c>
      <c r="O236" s="16" t="s">
        <v>337</v>
      </c>
      <c r="P236" s="17"/>
    </row>
    <row r="237" spans="1:16" ht="17.25" customHeight="1">
      <c r="A237" s="14" t="str">
        <f t="shared" si="17"/>
        <v>ACTRIS_ctrl_lists:offsetanglecheck</v>
      </c>
      <c r="B237" s="16" t="s">
        <v>362</v>
      </c>
      <c r="C237" s="16"/>
      <c r="D237" s="16" t="s">
        <v>363</v>
      </c>
      <c r="E237" s="16" t="s">
        <v>251</v>
      </c>
      <c r="F237" s="16"/>
      <c r="G237" s="16"/>
      <c r="H237" s="17" t="s">
        <v>314</v>
      </c>
      <c r="I237" s="16"/>
      <c r="J237" s="16"/>
      <c r="K237" s="16"/>
      <c r="L237" s="16"/>
      <c r="M237" s="16"/>
      <c r="N237" s="22" t="s">
        <v>305</v>
      </c>
      <c r="O237" s="16" t="s">
        <v>337</v>
      </c>
      <c r="P237" s="17"/>
    </row>
    <row r="238" spans="1:16" ht="17.25" customHeight="1">
      <c r="A238" s="14" t="str">
        <f t="shared" si="17"/>
        <v>ACTRIS_ctrl_lists:calibrationfactorcheck</v>
      </c>
      <c r="B238" s="16" t="s">
        <v>364</v>
      </c>
      <c r="C238" s="16"/>
      <c r="D238" s="16" t="s">
        <v>365</v>
      </c>
      <c r="E238" s="16" t="s">
        <v>251</v>
      </c>
      <c r="F238" s="16"/>
      <c r="G238" s="16"/>
      <c r="H238" s="17" t="s">
        <v>314</v>
      </c>
      <c r="I238" s="16"/>
      <c r="J238" s="16"/>
      <c r="K238" s="16"/>
      <c r="L238" s="16"/>
      <c r="M238" s="16"/>
      <c r="N238" s="22" t="s">
        <v>305</v>
      </c>
      <c r="O238" s="16" t="s">
        <v>337</v>
      </c>
      <c r="P238" s="17"/>
    </row>
    <row r="239" spans="1:16" ht="17.25" customHeight="1">
      <c r="A239" s="14" t="str">
        <f t="shared" si="17"/>
        <v>ACTRIS_ctrl_lists:GHKcoefficientscheck</v>
      </c>
      <c r="B239" s="16" t="s">
        <v>366</v>
      </c>
      <c r="C239" s="16"/>
      <c r="D239" s="16" t="s">
        <v>367</v>
      </c>
      <c r="E239" s="16" t="s">
        <v>251</v>
      </c>
      <c r="F239" s="16"/>
      <c r="G239" s="16"/>
      <c r="H239" s="17" t="s">
        <v>314</v>
      </c>
      <c r="I239" s="16"/>
      <c r="J239" s="16"/>
      <c r="K239" s="16"/>
      <c r="L239" s="16"/>
      <c r="M239" s="16"/>
      <c r="N239" s="22" t="s">
        <v>305</v>
      </c>
      <c r="O239" s="16" t="s">
        <v>337</v>
      </c>
      <c r="P239" s="17"/>
    </row>
    <row r="240" spans="1:16" ht="17.25" customHeight="1">
      <c r="A240" s="14"/>
      <c r="B240" s="16"/>
      <c r="C240" s="16"/>
      <c r="D240" s="16"/>
      <c r="E240" s="16"/>
      <c r="F240" s="16"/>
      <c r="G240" s="16"/>
      <c r="H240" s="17"/>
      <c r="I240" s="16"/>
      <c r="J240" s="16"/>
      <c r="K240" s="16"/>
      <c r="L240" s="16"/>
      <c r="M240" s="16"/>
      <c r="N240" s="22"/>
      <c r="O240" s="16"/>
      <c r="P240" s="17"/>
    </row>
    <row r="241" spans="1:16" ht="15" customHeight="1">
      <c r="A241" s="26" t="str">
        <f t="shared" ref="A241:A243" si="18">IF(ISBLANK($B241),"",$B$2 &amp; ":" &amp; (SUBSTITUTE(SUBSTITUTE(SUBSTITUTE(SUBSTITUTE(SUBSTITUTE(SUBSTITUTE(SUBSTITUTE(SUBSTITUTE(SUBSTITUTE(B241," ",""),"/","Div"),",","-"),"(","-"),")",""),"+","plus"),"--","-")," ",""),"&amp;","-")))</f>
        <v>ACTRIS_ctrl_lists:stationaudit</v>
      </c>
      <c r="B241" s="27" t="s">
        <v>327</v>
      </c>
      <c r="C241" s="27"/>
      <c r="D241" s="27"/>
      <c r="E241" s="27" t="s">
        <v>199</v>
      </c>
      <c r="F241" s="27" t="s">
        <v>328</v>
      </c>
      <c r="G241" s="27"/>
      <c r="H241" s="27"/>
      <c r="I241" s="27"/>
      <c r="J241" s="27"/>
      <c r="K241" s="27"/>
      <c r="L241" s="27"/>
      <c r="M241" s="27"/>
      <c r="N241" s="28" t="s">
        <v>43</v>
      </c>
      <c r="O241" s="27"/>
      <c r="P241" s="27"/>
    </row>
    <row r="242" spans="1:16" ht="17.25" customHeight="1">
      <c r="A242" s="14" t="str">
        <f t="shared" si="18"/>
        <v>ACTRIS_ctrl_lists:checkifprocessedbyCARSapprovedlidarconfiguration</v>
      </c>
      <c r="B242" s="16" t="s">
        <v>368</v>
      </c>
      <c r="C242" s="16"/>
      <c r="D242" s="16" t="s">
        <v>369</v>
      </c>
      <c r="E242" s="16" t="s">
        <v>333</v>
      </c>
      <c r="F242" s="16"/>
      <c r="G242" s="16"/>
      <c r="H242" s="17" t="s">
        <v>314</v>
      </c>
      <c r="I242" s="16"/>
      <c r="J242" s="16"/>
      <c r="K242" s="16"/>
      <c r="L242" s="16"/>
      <c r="M242" s="16"/>
      <c r="N242" s="22" t="s">
        <v>305</v>
      </c>
      <c r="O242" s="16"/>
      <c r="P242" s="17"/>
    </row>
    <row r="243" spans="1:16" ht="17.25" customHeight="1">
      <c r="A243" s="14" t="str">
        <f t="shared" si="18"/>
        <v/>
      </c>
      <c r="B243" s="16"/>
      <c r="C243" s="16"/>
      <c r="D243" s="16"/>
      <c r="E243" s="16"/>
      <c r="F243" s="16"/>
      <c r="G243" s="16"/>
      <c r="H243" s="17"/>
      <c r="I243" s="16"/>
      <c r="J243" s="16"/>
      <c r="K243" s="16"/>
      <c r="L243" s="16"/>
      <c r="M243" s="16"/>
      <c r="N243" s="22"/>
      <c r="O243" s="16"/>
      <c r="P243" s="17"/>
    </row>
    <row r="244" spans="1:16" ht="15" customHeight="1">
      <c r="A244" s="23" t="str">
        <f t="shared" ref="A244:A245" si="19">IF(ISBLANK($B244),"",$B$2 &amp; ":" &amp; (SUBSTITUTE(SUBSTITUTE(SUBSTITUTE(SUBSTITUTE(SUBSTITUTE(SUBSTITUTE(SUBSTITUTE(SUBSTITUTE(SUBSTITUTE(B244," ",""),"/","Div"),",","-"),"(","-"),")",""),"+","plus"),"--","-")," ",""),"&amp;","-")))</f>
        <v>ACTRIS_ctrl_lists:cloudremotesensingcontrolledlists</v>
      </c>
      <c r="B244" s="24" t="s">
        <v>174</v>
      </c>
      <c r="C244" s="24"/>
      <c r="D244" s="24"/>
      <c r="E244" s="24" t="s">
        <v>171</v>
      </c>
      <c r="F244" s="24"/>
      <c r="G244" s="24"/>
      <c r="H244" s="24"/>
      <c r="I244" s="24"/>
      <c r="J244" s="24"/>
      <c r="K244" s="24"/>
      <c r="L244" s="24"/>
      <c r="M244" s="24"/>
      <c r="N244" s="25" t="s">
        <v>43</v>
      </c>
      <c r="O244" s="24"/>
      <c r="P244" s="24"/>
    </row>
    <row r="245" spans="1:16" ht="15" customHeight="1">
      <c r="A245" s="26" t="str">
        <f t="shared" si="19"/>
        <v/>
      </c>
      <c r="B245" s="27"/>
      <c r="C245" s="27" t="s">
        <v>200</v>
      </c>
      <c r="D245" s="27"/>
      <c r="E245" s="27"/>
      <c r="F245" s="27"/>
      <c r="G245" s="27"/>
      <c r="H245" s="27"/>
      <c r="I245" s="27"/>
      <c r="J245" s="27"/>
      <c r="K245" s="27"/>
      <c r="L245" s="27"/>
      <c r="M245" s="27"/>
      <c r="N245" s="28" t="s">
        <v>43</v>
      </c>
      <c r="O245" s="27"/>
      <c r="P245" s="27"/>
    </row>
    <row r="246" spans="1:16" ht="17.25" customHeight="1">
      <c r="A246" s="14"/>
      <c r="B246" s="16"/>
      <c r="C246" s="17"/>
      <c r="D246" s="16"/>
      <c r="E246" s="17"/>
      <c r="F246" s="17"/>
      <c r="G246" s="17"/>
      <c r="H246" s="17"/>
      <c r="I246" s="17"/>
      <c r="J246" s="17"/>
      <c r="K246" s="17"/>
      <c r="L246" s="17"/>
      <c r="M246" s="17"/>
      <c r="N246" s="22"/>
      <c r="O246" s="22"/>
      <c r="P246" s="17"/>
    </row>
    <row r="247" spans="1:16" ht="15" customHeight="1">
      <c r="A247" s="23" t="str">
        <f t="shared" ref="A247:A248" si="20">IF(ISBLANK($B247),"",$B$2 &amp; ":" &amp; (SUBSTITUTE(SUBSTITUTE(SUBSTITUTE(SUBSTITUTE(SUBSTITUTE(SUBSTITUTE(SUBSTITUTE(SUBSTITUTE(SUBSTITUTE(B247," ",""),"/","Div"),",","-"),"(","-"),")",""),"+","plus"),"--","-")," ",""),"&amp;","-")))</f>
        <v>ACTRIS_ctrl_lists:reactivetracegasremotesensingcontrolledlists</v>
      </c>
      <c r="B247" s="24" t="s">
        <v>175</v>
      </c>
      <c r="C247" s="24"/>
      <c r="D247" s="24"/>
      <c r="E247" s="24" t="s">
        <v>171</v>
      </c>
      <c r="F247" s="24"/>
      <c r="G247" s="24"/>
      <c r="H247" s="24"/>
      <c r="I247" s="24"/>
      <c r="J247" s="24"/>
      <c r="K247" s="24"/>
      <c r="L247" s="24"/>
      <c r="M247" s="24"/>
      <c r="N247" s="25" t="s">
        <v>43</v>
      </c>
      <c r="O247" s="24"/>
      <c r="P247" s="24"/>
    </row>
    <row r="248" spans="1:16" ht="15" customHeight="1">
      <c r="A248" s="26" t="str">
        <f t="shared" si="20"/>
        <v/>
      </c>
      <c r="B248" s="27"/>
      <c r="C248" s="27" t="s">
        <v>201</v>
      </c>
      <c r="D248" s="27"/>
      <c r="E248" s="27"/>
      <c r="F248" s="27"/>
      <c r="G248" s="27"/>
      <c r="H248" s="27"/>
      <c r="I248" s="27"/>
      <c r="J248" s="27"/>
      <c r="K248" s="27"/>
      <c r="L248" s="27"/>
      <c r="M248" s="27"/>
      <c r="N248" s="28" t="s">
        <v>43</v>
      </c>
      <c r="O248" s="27"/>
      <c r="P248" s="27"/>
    </row>
    <row r="249" spans="1:16" ht="17.25" customHeight="1">
      <c r="A249" s="14" t="str">
        <f t="shared" ref="A249:A255" si="21">IF(ISBLANK($B249),"",$B$2 &amp; ":" &amp; (SUBSTITUTE(SUBSTITUTE(SUBSTITUTE(SUBSTITUTE(SUBSTITUTE(SUBSTITUTE(SUBSTITUTE(SUBSTITUTE(SUBSTITUTE(B249," ",""),"/","Div"),",","-"),"(","-"),")",""),"+","plus"),"--","-")," ",""),"&amp;","-")))</f>
        <v/>
      </c>
      <c r="B249" s="16"/>
      <c r="C249" s="17"/>
      <c r="D249" s="16"/>
      <c r="E249" s="16"/>
      <c r="F249" s="17"/>
      <c r="G249" s="17"/>
      <c r="H249" s="17"/>
      <c r="I249" s="17"/>
      <c r="J249" s="17"/>
      <c r="K249" s="17"/>
      <c r="L249" s="17"/>
      <c r="M249" s="17"/>
      <c r="N249" s="22" t="s">
        <v>43</v>
      </c>
      <c r="O249" s="22"/>
      <c r="P249" s="17"/>
    </row>
    <row r="250" spans="1:16" ht="17.25" customHeight="1">
      <c r="A250" s="14" t="str">
        <f t="shared" si="21"/>
        <v/>
      </c>
      <c r="B250" s="17"/>
      <c r="C250" s="17"/>
      <c r="D250" s="16"/>
      <c r="E250" s="16"/>
      <c r="F250" s="17"/>
      <c r="G250" s="17"/>
      <c r="H250" s="17"/>
      <c r="I250" s="17"/>
      <c r="J250" s="17"/>
      <c r="K250" s="17"/>
      <c r="L250" s="17"/>
      <c r="M250" s="17"/>
      <c r="N250" s="22"/>
      <c r="O250" s="22"/>
      <c r="P250" s="17"/>
    </row>
    <row r="251" spans="1:16" ht="15" customHeight="1">
      <c r="A251" s="11" t="str">
        <f t="shared" si="21"/>
        <v/>
      </c>
      <c r="B251" s="12"/>
      <c r="C251" s="12"/>
      <c r="D251" s="12"/>
      <c r="E251" s="12"/>
      <c r="F251" s="12"/>
      <c r="G251" s="12"/>
      <c r="H251" s="12"/>
      <c r="I251" s="12"/>
      <c r="J251" s="12"/>
      <c r="K251" s="12"/>
      <c r="L251" s="12"/>
      <c r="M251" s="12"/>
      <c r="N251" s="13" t="s">
        <v>43</v>
      </c>
      <c r="O251" s="12"/>
      <c r="P251" s="12"/>
    </row>
    <row r="252" spans="1:16" ht="15" customHeight="1">
      <c r="A252" s="23" t="str">
        <f t="shared" si="21"/>
        <v/>
      </c>
      <c r="B252" s="24"/>
      <c r="C252" s="24"/>
      <c r="D252" s="24"/>
      <c r="E252" s="24"/>
      <c r="F252" s="24"/>
      <c r="G252" s="24"/>
      <c r="H252" s="24"/>
      <c r="I252" s="24"/>
      <c r="J252" s="24"/>
      <c r="K252" s="24"/>
      <c r="L252" s="24"/>
      <c r="M252" s="24"/>
      <c r="N252" s="25" t="s">
        <v>43</v>
      </c>
      <c r="O252" s="24"/>
      <c r="P252" s="24"/>
    </row>
    <row r="253" spans="1:16" ht="15" customHeight="1">
      <c r="A253" s="26" t="str">
        <f t="shared" si="21"/>
        <v/>
      </c>
      <c r="B253" s="27"/>
      <c r="C253" s="27"/>
      <c r="D253" s="27"/>
      <c r="E253" s="27"/>
      <c r="F253" s="27"/>
      <c r="G253" s="27"/>
      <c r="H253" s="27"/>
      <c r="I253" s="27"/>
      <c r="J253" s="27"/>
      <c r="K253" s="27"/>
      <c r="L253" s="27"/>
      <c r="M253" s="27"/>
      <c r="N253" s="28" t="s">
        <v>43</v>
      </c>
      <c r="O253" s="27"/>
      <c r="P253" s="27"/>
    </row>
    <row r="254" spans="1:16" ht="17.25" customHeight="1">
      <c r="A254" s="14" t="str">
        <f t="shared" si="21"/>
        <v/>
      </c>
      <c r="B254" s="16"/>
      <c r="C254" s="17"/>
      <c r="D254" s="16"/>
      <c r="E254" s="16"/>
      <c r="F254" s="17"/>
      <c r="G254" s="17"/>
      <c r="H254" s="17"/>
      <c r="I254" s="17"/>
      <c r="J254" s="17"/>
      <c r="K254" s="17"/>
      <c r="L254" s="17"/>
      <c r="M254" s="17"/>
      <c r="N254" s="22" t="s">
        <v>43</v>
      </c>
      <c r="O254" s="22"/>
      <c r="P254" s="17"/>
    </row>
    <row r="255" spans="1:16" ht="17.25" customHeight="1">
      <c r="A255" s="14" t="str">
        <f t="shared" si="21"/>
        <v/>
      </c>
      <c r="B255" s="17"/>
      <c r="C255" s="17"/>
      <c r="D255" s="16"/>
      <c r="E255" s="16"/>
      <c r="F255" s="17"/>
      <c r="G255" s="17"/>
      <c r="H255" s="17"/>
      <c r="I255" s="17"/>
      <c r="J255" s="17"/>
      <c r="K255" s="17"/>
      <c r="L255" s="17"/>
      <c r="M255" s="17"/>
      <c r="N255" s="22"/>
      <c r="O255" s="22"/>
      <c r="P255" s="17"/>
    </row>
  </sheetData>
  <phoneticPr fontId="9" type="noConversion"/>
  <hyperlinks>
    <hyperlink ref="C4" r:id="rId1" xr:uid="{00000000-0004-0000-0000-000002000000}"/>
    <hyperlink ref="C5" r:id="rId2" xr:uid="{00000000-0004-0000-0000-000003000000}"/>
    <hyperlink ref="B10" r:id="rId3" xr:uid="{00000000-0004-0000-0000-000004000000}"/>
    <hyperlink ref="B11" r:id="rId4" xr:uid="{00000000-0004-0000-0000-000005000000}"/>
    <hyperlink ref="O21" r:id="rId5" xr:uid="{00000000-0004-0000-0000-000006000000}"/>
    <hyperlink ref="N22" r:id="rId6" xr:uid="{00000000-0004-0000-0000-000007000000}"/>
    <hyperlink ref="O22" r:id="rId7" xr:uid="{00000000-0004-0000-0000-000008000000}"/>
    <hyperlink ref="N23" r:id="rId8" xr:uid="{00000000-0004-0000-0000-000009000000}"/>
    <hyperlink ref="O23" r:id="rId9" xr:uid="{00000000-0004-0000-0000-00000A000000}"/>
    <hyperlink ref="N24" r:id="rId10" xr:uid="{00000000-0004-0000-0000-00000B000000}"/>
    <hyperlink ref="O24" r:id="rId11" xr:uid="{00000000-0004-0000-0000-00000C000000}"/>
    <hyperlink ref="N25" r:id="rId12" xr:uid="{00000000-0004-0000-0000-00000D000000}"/>
    <hyperlink ref="O25" r:id="rId13" xr:uid="{00000000-0004-0000-0000-00000E000000}"/>
    <hyperlink ref="N26" r:id="rId14" xr:uid="{00000000-0004-0000-0000-00000F000000}"/>
    <hyperlink ref="O26" r:id="rId15" xr:uid="{00000000-0004-0000-0000-000010000000}"/>
    <hyperlink ref="N27" r:id="rId16" xr:uid="{00000000-0004-0000-0000-000011000000}"/>
    <hyperlink ref="O27" r:id="rId17" xr:uid="{00000000-0004-0000-0000-000012000000}"/>
    <hyperlink ref="N28" r:id="rId18" xr:uid="{00000000-0004-0000-0000-000013000000}"/>
    <hyperlink ref="O28" r:id="rId19" xr:uid="{00000000-0004-0000-0000-000014000000}"/>
    <hyperlink ref="N29" r:id="rId20" xr:uid="{00000000-0004-0000-0000-000015000000}"/>
    <hyperlink ref="O29" r:id="rId21" xr:uid="{00000000-0004-0000-0000-000016000000}"/>
    <hyperlink ref="N30" r:id="rId22" xr:uid="{00000000-0004-0000-0000-000017000000}"/>
    <hyperlink ref="O30" r:id="rId23" xr:uid="{00000000-0004-0000-0000-000018000000}"/>
    <hyperlink ref="N31" r:id="rId24" xr:uid="{00000000-0004-0000-0000-000019000000}"/>
    <hyperlink ref="O31" r:id="rId25" xr:uid="{00000000-0004-0000-0000-00001A000000}"/>
    <hyperlink ref="N32" r:id="rId26" xr:uid="{00000000-0004-0000-0000-00001B000000}"/>
    <hyperlink ref="O32" r:id="rId27" xr:uid="{00000000-0004-0000-0000-00001C000000}"/>
    <hyperlink ref="N33" r:id="rId28" xr:uid="{00000000-0004-0000-0000-00001D000000}"/>
    <hyperlink ref="O33" r:id="rId29" xr:uid="{00000000-0004-0000-0000-00001E000000}"/>
    <hyperlink ref="N34" r:id="rId30" xr:uid="{00000000-0004-0000-0000-00001F000000}"/>
    <hyperlink ref="O34" r:id="rId31" xr:uid="{00000000-0004-0000-0000-000020000000}"/>
    <hyperlink ref="N35" r:id="rId32" xr:uid="{00000000-0004-0000-0000-000021000000}"/>
    <hyperlink ref="O35" r:id="rId33" xr:uid="{00000000-0004-0000-0000-000022000000}"/>
    <hyperlink ref="N36" r:id="rId34" xr:uid="{00000000-0004-0000-0000-000023000000}"/>
    <hyperlink ref="O36" r:id="rId35" xr:uid="{00000000-0004-0000-0000-000024000000}"/>
    <hyperlink ref="N37" r:id="rId36" xr:uid="{00000000-0004-0000-0000-000025000000}"/>
    <hyperlink ref="O37" r:id="rId37" xr:uid="{00000000-0004-0000-0000-000026000000}"/>
    <hyperlink ref="N38" r:id="rId38" xr:uid="{00000000-0004-0000-0000-000027000000}"/>
    <hyperlink ref="O38" r:id="rId39" xr:uid="{00000000-0004-0000-0000-000028000000}"/>
    <hyperlink ref="N39" r:id="rId40" xr:uid="{00000000-0004-0000-0000-000029000000}"/>
    <hyperlink ref="O39" r:id="rId41" xr:uid="{00000000-0004-0000-0000-00002A000000}"/>
    <hyperlink ref="N40" r:id="rId42" xr:uid="{00000000-0004-0000-0000-00002B000000}"/>
    <hyperlink ref="O40" r:id="rId43" xr:uid="{00000000-0004-0000-0000-00002C000000}"/>
    <hyperlink ref="N41" r:id="rId44" xr:uid="{00000000-0004-0000-0000-00002D000000}"/>
    <hyperlink ref="O41" r:id="rId45" xr:uid="{00000000-0004-0000-0000-00002E000000}"/>
    <hyperlink ref="N42" r:id="rId46" xr:uid="{00000000-0004-0000-0000-00002F000000}"/>
    <hyperlink ref="O42" r:id="rId47" xr:uid="{00000000-0004-0000-0000-000030000000}"/>
    <hyperlink ref="N43" r:id="rId48" xr:uid="{00000000-0004-0000-0000-000031000000}"/>
    <hyperlink ref="O43" r:id="rId49" xr:uid="{00000000-0004-0000-0000-000032000000}"/>
    <hyperlink ref="N44" r:id="rId50" xr:uid="{00000000-0004-0000-0000-000033000000}"/>
    <hyperlink ref="O44" r:id="rId51" xr:uid="{00000000-0004-0000-0000-000034000000}"/>
    <hyperlink ref="N45" r:id="rId52" xr:uid="{00000000-0004-0000-0000-000035000000}"/>
    <hyperlink ref="O45" r:id="rId53" xr:uid="{00000000-0004-0000-0000-000036000000}"/>
    <hyperlink ref="N46" r:id="rId54" xr:uid="{00000000-0004-0000-0000-000037000000}"/>
    <hyperlink ref="O46" r:id="rId55" xr:uid="{00000000-0004-0000-0000-000038000000}"/>
    <hyperlink ref="N47" r:id="rId56" xr:uid="{00000000-0004-0000-0000-000039000000}"/>
    <hyperlink ref="O47" r:id="rId57" xr:uid="{00000000-0004-0000-0000-00003A000000}"/>
    <hyperlink ref="O50" r:id="rId58" xr:uid="{00000000-0004-0000-0000-00003B000000}"/>
    <hyperlink ref="N51" r:id="rId59" xr:uid="{00000000-0004-0000-0000-00003C000000}"/>
    <hyperlink ref="O51" r:id="rId60" xr:uid="{00000000-0004-0000-0000-00003D000000}"/>
    <hyperlink ref="N52" r:id="rId61" xr:uid="{00000000-0004-0000-0000-00003E000000}"/>
    <hyperlink ref="O52" r:id="rId62" xr:uid="{00000000-0004-0000-0000-00003F000000}"/>
    <hyperlink ref="N53" r:id="rId63" xr:uid="{00000000-0004-0000-0000-000040000000}"/>
    <hyperlink ref="O53" r:id="rId64" xr:uid="{00000000-0004-0000-0000-000041000000}"/>
    <hyperlink ref="N54" r:id="rId65" xr:uid="{00000000-0004-0000-0000-000042000000}"/>
    <hyperlink ref="O54" r:id="rId66" xr:uid="{00000000-0004-0000-0000-000043000000}"/>
    <hyperlink ref="N55" r:id="rId67" xr:uid="{00000000-0004-0000-0000-000044000000}"/>
    <hyperlink ref="O55" r:id="rId68" xr:uid="{00000000-0004-0000-0000-000045000000}"/>
    <hyperlink ref="N56" r:id="rId69" xr:uid="{00000000-0004-0000-0000-000046000000}"/>
    <hyperlink ref="O56" r:id="rId70" xr:uid="{00000000-0004-0000-0000-000047000000}"/>
    <hyperlink ref="N57" r:id="rId71" xr:uid="{00000000-0004-0000-0000-000048000000}"/>
    <hyperlink ref="O57" r:id="rId72" xr:uid="{00000000-0004-0000-0000-000049000000}"/>
    <hyperlink ref="N58" r:id="rId73" xr:uid="{00000000-0004-0000-0000-00004A000000}"/>
    <hyperlink ref="O58" r:id="rId74" xr:uid="{00000000-0004-0000-0000-00004B000000}"/>
    <hyperlink ref="N59" r:id="rId75" xr:uid="{00000000-0004-0000-0000-00004C000000}"/>
    <hyperlink ref="O59" r:id="rId76" xr:uid="{00000000-0004-0000-0000-00004D000000}"/>
    <hyperlink ref="N60" r:id="rId77" xr:uid="{00000000-0004-0000-0000-00004E000000}"/>
    <hyperlink ref="O60" r:id="rId78" xr:uid="{00000000-0004-0000-0000-00004F000000}"/>
    <hyperlink ref="N61" r:id="rId79" xr:uid="{00000000-0004-0000-0000-000050000000}"/>
    <hyperlink ref="O61" r:id="rId80" xr:uid="{00000000-0004-0000-0000-000051000000}"/>
    <hyperlink ref="F71" r:id="rId81" xr:uid="{00000000-0004-0000-0000-000056000000}"/>
    <hyperlink ref="N71" r:id="rId82" xr:uid="{00000000-0004-0000-0000-000057000000}"/>
    <hyperlink ref="O71" r:id="rId83" xr:uid="{00000000-0004-0000-0000-000058000000}"/>
    <hyperlink ref="F72" r:id="rId84" xr:uid="{00000000-0004-0000-0000-000059000000}"/>
    <hyperlink ref="N72" r:id="rId85" xr:uid="{00000000-0004-0000-0000-00005A000000}"/>
    <hyperlink ref="O72" r:id="rId86" xr:uid="{00000000-0004-0000-0000-00005B000000}"/>
    <hyperlink ref="O85" r:id="rId87" xr:uid="{00000000-0004-0000-0000-00005C000000}"/>
    <hyperlink ref="N86" r:id="rId88" xr:uid="{00000000-0004-0000-0000-00005D000000}"/>
    <hyperlink ref="O86" r:id="rId89" xr:uid="{00000000-0004-0000-0000-00005E000000}"/>
    <hyperlink ref="N87" r:id="rId90" xr:uid="{00000000-0004-0000-0000-00005F000000}"/>
    <hyperlink ref="O87" r:id="rId91" xr:uid="{00000000-0004-0000-0000-000060000000}"/>
    <hyperlink ref="N88" r:id="rId92" xr:uid="{00000000-0004-0000-0000-000061000000}"/>
    <hyperlink ref="O88" r:id="rId93" xr:uid="{00000000-0004-0000-0000-000062000000}"/>
    <hyperlink ref="N90" r:id="rId94" xr:uid="{00000000-0004-0000-0000-000063000000}"/>
    <hyperlink ref="O90" r:id="rId95" xr:uid="{00000000-0004-0000-0000-000064000000}"/>
    <hyperlink ref="N91" r:id="rId96" xr:uid="{00000000-0004-0000-0000-000065000000}"/>
    <hyperlink ref="O91" r:id="rId97" xr:uid="{00000000-0004-0000-0000-000066000000}"/>
    <hyperlink ref="N92" r:id="rId98" xr:uid="{00000000-0004-0000-0000-000067000000}"/>
    <hyperlink ref="O92" r:id="rId99" xr:uid="{00000000-0004-0000-0000-000068000000}"/>
    <hyperlink ref="N93" r:id="rId100" xr:uid="{00000000-0004-0000-0000-000069000000}"/>
    <hyperlink ref="O93" r:id="rId101" xr:uid="{00000000-0004-0000-0000-00006A000000}"/>
    <hyperlink ref="N94" r:id="rId102" xr:uid="{00000000-0004-0000-0000-00006B000000}"/>
    <hyperlink ref="O94" r:id="rId103" xr:uid="{00000000-0004-0000-0000-00006C000000}"/>
    <hyperlink ref="N95" r:id="rId104" xr:uid="{00000000-0004-0000-0000-00006D000000}"/>
    <hyperlink ref="O95" r:id="rId105" xr:uid="{00000000-0004-0000-0000-00006E000000}"/>
    <hyperlink ref="N96" r:id="rId106" xr:uid="{00000000-0004-0000-0000-00006F000000}"/>
    <hyperlink ref="O96" r:id="rId107" xr:uid="{00000000-0004-0000-0000-000070000000}"/>
    <hyperlink ref="N97" r:id="rId108" xr:uid="{00000000-0004-0000-0000-000071000000}"/>
    <hyperlink ref="O97" r:id="rId109" xr:uid="{00000000-0004-0000-0000-000072000000}"/>
    <hyperlink ref="N98" r:id="rId110" xr:uid="{00000000-0004-0000-0000-000073000000}"/>
    <hyperlink ref="O98" r:id="rId111" xr:uid="{00000000-0004-0000-0000-000074000000}"/>
    <hyperlink ref="N99" r:id="rId112" xr:uid="{00000000-0004-0000-0000-000075000000}"/>
    <hyperlink ref="O99" r:id="rId113" xr:uid="{00000000-0004-0000-0000-000076000000}"/>
    <hyperlink ref="N100" r:id="rId114" xr:uid="{00000000-0004-0000-0000-000077000000}"/>
    <hyperlink ref="O100" r:id="rId115" xr:uid="{00000000-0004-0000-0000-000078000000}"/>
    <hyperlink ref="N101" r:id="rId116" xr:uid="{00000000-0004-0000-0000-000079000000}"/>
    <hyperlink ref="O101" r:id="rId117" xr:uid="{00000000-0004-0000-0000-00007A000000}"/>
    <hyperlink ref="N102" r:id="rId118" xr:uid="{00000000-0004-0000-0000-00007B000000}"/>
    <hyperlink ref="O102" r:id="rId119" xr:uid="{00000000-0004-0000-0000-00007C000000}"/>
    <hyperlink ref="N103" r:id="rId120" xr:uid="{00000000-0004-0000-0000-00007D000000}"/>
    <hyperlink ref="O103" r:id="rId121" xr:uid="{00000000-0004-0000-0000-00007E000000}"/>
    <hyperlink ref="N140" r:id="rId122" xr:uid="{00000000-0004-0000-0000-00007F000000}"/>
    <hyperlink ref="N141" r:id="rId123" xr:uid="{00000000-0004-0000-0000-000080000000}"/>
    <hyperlink ref="N142" r:id="rId124" xr:uid="{00000000-0004-0000-0000-000081000000}"/>
    <hyperlink ref="N73" r:id="rId125" xr:uid="{9AF6E984-1653-430E-A3FB-A3D26D9878D9}"/>
    <hyperlink ref="N104:N106" r:id="rId126" display="https://orcid.org/0000-0002-3380-3470" xr:uid="{C0237BC4-BA79-4297-A3EA-35626BCC8ACE}"/>
    <hyperlink ref="N66:N69" r:id="rId127" display="https://orcid.org/0000-0002-3380-3470" xr:uid="{705A572F-F571-4480-A1DC-8DBA00CA101F}"/>
    <hyperlink ref="N64" r:id="rId128" xr:uid="{1B7D45FB-4ED7-4ED1-BBC7-821751CC3EB3}"/>
    <hyperlink ref="N65" r:id="rId129" xr:uid="{226E8F98-6EA9-42BC-9935-B19751C3752C}"/>
    <hyperlink ref="N78" r:id="rId130" xr:uid="{265B2C5B-2BD4-4B09-BF2D-1D182ADD6769}"/>
    <hyperlink ref="N249" r:id="rId131" xr:uid="{BFA3A315-68ED-41AC-A422-E5B270BCAA65}"/>
    <hyperlink ref="N252" r:id="rId132" xr:uid="{EF50E818-5C00-457D-A67A-B09335A7D545}"/>
    <hyperlink ref="N253" r:id="rId133" xr:uid="{7271C232-2EEF-47E3-BD2F-E8FCA1B9195C}"/>
    <hyperlink ref="N254" r:id="rId134" xr:uid="{9B567F81-6F3A-4D2A-B380-E99564D4295D}"/>
    <hyperlink ref="N156" r:id="rId135" xr:uid="{BEAB9E3F-2C94-4909-9BE6-8DF462A2C30F}"/>
    <hyperlink ref="N157" r:id="rId136" xr:uid="{111B9A1B-3F82-4F34-9566-46C7A83C04DB}"/>
    <hyperlink ref="N188" r:id="rId137" xr:uid="{612D57F9-55A6-4BFA-B2C5-222EFEB10181}"/>
    <hyperlink ref="N189" r:id="rId138" xr:uid="{2354DB23-F51A-45D0-8DC0-494B9A9E76F1}"/>
    <hyperlink ref="N192" r:id="rId139" xr:uid="{864B7DC4-2B18-48D9-A771-D5C980DC5D0F}"/>
    <hyperlink ref="N193" r:id="rId140" xr:uid="{76D79C66-0314-4400-BA60-9A4924CE1344}"/>
    <hyperlink ref="N205" r:id="rId141" xr:uid="{CBDAF360-DD30-4FFE-9873-8D715A36F95E}"/>
    <hyperlink ref="N206" r:id="rId142" xr:uid="{78708F00-E983-42F1-AD4A-F42143EE0641}"/>
    <hyperlink ref="N244" r:id="rId143" xr:uid="{0C8BD3CC-3F65-4CDB-9F7F-68AE696A848E}"/>
    <hyperlink ref="N245" r:id="rId144" xr:uid="{718F6210-5612-476D-BD89-516382F3AC7B}"/>
    <hyperlink ref="N247" r:id="rId145" xr:uid="{D72136AE-8722-4F19-B815-D2BC69B3790F}"/>
    <hyperlink ref="N248" r:id="rId146" xr:uid="{63035A47-7690-4D5B-83D1-48366F2115A7}"/>
    <hyperlink ref="N148" r:id="rId147" xr:uid="{DB3FA559-07DB-4E3F-8F33-03E67AA6594B}"/>
    <hyperlink ref="N143:N146" r:id="rId148" display="https://orcid.org/0000-0002-3380-3470" xr:uid="{3B067DB1-3926-4DF6-B802-C6C41B490EE4}"/>
    <hyperlink ref="N149:N153" r:id="rId149" display="https://orcid.org/0000-0002-3380-3470" xr:uid="{72F1B155-0CBB-46FF-8205-A0C52E9A070F}"/>
    <hyperlink ref="N158:N160" r:id="rId150" display="https://orcid.org/0000-0002-3380-3470" xr:uid="{8B4DB69A-EF9C-4ADB-9268-6813A7479022}"/>
    <hyperlink ref="N113:N137" r:id="rId151" display="https://orcid.org/0000-0002-3380-3470" xr:uid="{D910B8A1-D308-48B2-83CB-146A9C4481A6}"/>
    <hyperlink ref="N162" r:id="rId152" xr:uid="{58016CD7-EF7A-440B-8AAD-A1FDB81B8F3D}"/>
    <hyperlink ref="N173" r:id="rId153" xr:uid="{FDA9C017-8A74-46A8-AA92-4E0F1122BC95}"/>
    <hyperlink ref="N183" r:id="rId154" xr:uid="{48B4D16D-FB2A-47C8-8020-17F55612FB2A}"/>
    <hyperlink ref="N163:N171" r:id="rId155" display="https://orcid.org/0000-0002-3380-3470" xr:uid="{A01CF1B5-EF07-41C1-A386-A166C31EBC99}"/>
    <hyperlink ref="N174:N181" r:id="rId156" display="https://orcid.org/0000-0002-3380-3470" xr:uid="{0B09D58F-EB80-4AE4-BCBF-D63750491C1B}"/>
    <hyperlink ref="N184:N186" r:id="rId157" display="https://orcid.org/0000-0002-3380-3470" xr:uid="{08882DA6-3D74-4D77-AFAD-80368B236024}"/>
    <hyperlink ref="N216" r:id="rId158" xr:uid="{5B70B258-A97D-4B44-BF1D-FFF168385287}"/>
    <hyperlink ref="N220" r:id="rId159" xr:uid="{45D5197C-EA26-4E70-AC31-4F14BB0B807F}"/>
    <hyperlink ref="O207" r:id="rId160" xr:uid="{1EBB631F-875B-4BF1-82A4-4EE3B6BF14DD}"/>
    <hyperlink ref="O208" r:id="rId161" xr:uid="{F47C77B2-2114-4C29-8BA1-CA87306CE765}"/>
    <hyperlink ref="O209" r:id="rId162" xr:uid="{631C74BD-8E3F-4F79-A7DA-0F00D5F75BD7}"/>
    <hyperlink ref="O210" r:id="rId163" xr:uid="{7B48D6CF-DA5B-413A-8658-A46C468AFD73}"/>
    <hyperlink ref="O211" r:id="rId164" xr:uid="{90A33C07-7970-43BB-B688-43123EA96ABC}"/>
    <hyperlink ref="O212" r:id="rId165" xr:uid="{E924623B-DD36-4203-AC65-6AA262ED72AF}"/>
    <hyperlink ref="O213" r:id="rId166" xr:uid="{333CFBA5-197B-4AE0-8098-B936D7AED0E4}"/>
    <hyperlink ref="O214" r:id="rId167" xr:uid="{AE3C9486-26CD-4FE1-B731-E1088260BFDD}"/>
    <hyperlink ref="O217" r:id="rId168" xr:uid="{065E090B-26B6-4790-A342-3B8AB0D890E3}"/>
    <hyperlink ref="O218" r:id="rId169" xr:uid="{DC972FEE-AB02-4592-BBAE-46E972C5A15E}"/>
    <hyperlink ref="O221" r:id="rId170" xr:uid="{A5ADFAF1-1FCF-431A-90F5-B3EF956CEAF5}"/>
    <hyperlink ref="N194" r:id="rId171" xr:uid="{9B663FD4-16F8-42D9-9C80-6F4E2EC4BCD9}"/>
    <hyperlink ref="N195:N197" r:id="rId172" display="https://orcid.org/0000-0003-0648-6622" xr:uid="{E82137E4-C00F-4A77-AA69-C2CEE9E69A3A}"/>
    <hyperlink ref="N199" r:id="rId173" xr:uid="{20B711D6-836B-4415-8D55-E8D98729A8EB}"/>
    <hyperlink ref="N200:N203" r:id="rId174" display="https://orcid.org/0000-0003-0648-6622" xr:uid="{7FFCDCFE-A881-4C0D-8EA8-F5508101BB4C}"/>
    <hyperlink ref="N223" r:id="rId175" xr:uid="{470FEC31-B0F7-4340-A9D7-6F8436D59027}"/>
    <hyperlink ref="O224" r:id="rId176" xr:uid="{C14C8BA3-B370-4D24-92A2-EAEF3178542D}"/>
    <hyperlink ref="O225" r:id="rId177" xr:uid="{7606C661-1B21-43AA-93BD-E87FD900068D}"/>
    <hyperlink ref="O226" r:id="rId178" xr:uid="{8E39C1EE-7AEE-4F84-9342-E7AC1AFF9599}"/>
    <hyperlink ref="O227" r:id="rId179" xr:uid="{331573AE-C7EC-460C-9030-5B21AA95DFDF}"/>
    <hyperlink ref="O228" r:id="rId180" xr:uid="{0A775B8B-BFD5-4254-BB4C-1CA4211AD056}"/>
    <hyperlink ref="O229" r:id="rId181" xr:uid="{005825C9-6102-4B28-9148-24D9D3C1B4B7}"/>
    <hyperlink ref="O230" r:id="rId182" xr:uid="{14E29CE9-4BA3-4FCE-BC22-0ED5350CCB03}"/>
    <hyperlink ref="O231" r:id="rId183" xr:uid="{EB52FA76-8701-4484-9280-6E536C765C64}"/>
    <hyperlink ref="O232" r:id="rId184" xr:uid="{A80B1F14-419B-41AE-BE92-D0F4EC16BF3D}"/>
    <hyperlink ref="O233" r:id="rId185" xr:uid="{D5261389-817C-4743-BE43-B2CF88894BC5}"/>
    <hyperlink ref="O234" r:id="rId186" xr:uid="{55931C1C-D86A-4D54-A70B-46004EAE9041}"/>
    <hyperlink ref="O235" r:id="rId187" xr:uid="{790A2585-4116-4253-B043-5DDA3345B718}"/>
    <hyperlink ref="O236" r:id="rId188" xr:uid="{9F7A0555-F908-43E0-9E00-FCB40D75B08F}"/>
    <hyperlink ref="O237" r:id="rId189" xr:uid="{7AFC96CA-C659-4BFE-9E8C-A5115A9C40F1}"/>
    <hyperlink ref="O238" r:id="rId190" xr:uid="{C0D68BD3-8356-4705-BFCC-AE58BEB688BC}"/>
    <hyperlink ref="O239" r:id="rId191" xr:uid="{BFFA46D2-EC1A-45A6-BD66-98F92969FD8A}"/>
    <hyperlink ref="N241" r:id="rId192" xr:uid="{42E6E708-2690-451E-871F-23B1CB3F06BA}"/>
    <hyperlink ref="N74" r:id="rId193" xr:uid="{D30F63DA-5786-45D2-A437-17CC24A8E2AE}"/>
    <hyperlink ref="N75" r:id="rId194" xr:uid="{2AE77B84-F9CF-4A82-B64B-6C0607CC2D5A}"/>
    <hyperlink ref="B1" r:id="rId195" display="https://vocabulary" xr:uid="{F588C3C7-D754-4249-8CD6-F241F484B7A5}"/>
    <hyperlink ref="C2" r:id="rId196" display="https://vocabulary" xr:uid="{6D0987C6-CE28-4ED1-B035-2D3E7D0F6D8C}"/>
    <hyperlink ref="C3" r:id="rId197" xr:uid="{59DA185D-8E47-4646-A4DF-34AFC1FAE925}"/>
  </hyperlinks>
  <pageMargins left="0.7" right="0.7" top="0.75" bottom="0.75" header="0.51180555555555496" footer="0.51180555555555496"/>
  <pageSetup firstPageNumber="0" orientation="portrait" horizontalDpi="300" verticalDpi="300" r:id="rId19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8a2b2ea-4ae5-49be-a8c4-5009d504025a">
      <Terms xmlns="http://schemas.microsoft.com/office/infopath/2007/PartnerControls"/>
    </lcf76f155ced4ddcb4097134ff3c332f>
    <TaxCatchAll xmlns="7fcf429e-959f-41cd-b9fc-3fe37213493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81788B230DB442BDFB5C65881F7436" ma:contentTypeVersion="19" ma:contentTypeDescription="Create a new document." ma:contentTypeScope="" ma:versionID="f8fef1c2717e652c18441c3de6c23c6c">
  <xsd:schema xmlns:xsd="http://www.w3.org/2001/XMLSchema" xmlns:xs="http://www.w3.org/2001/XMLSchema" xmlns:p="http://schemas.microsoft.com/office/2006/metadata/properties" xmlns:ns2="48a2b2ea-4ae5-49be-a8c4-5009d504025a" xmlns:ns3="7fcf429e-959f-41cd-b9fc-3fe372134937" targetNamespace="http://schemas.microsoft.com/office/2006/metadata/properties" ma:root="true" ma:fieldsID="cf2dbfef60470889a3a6d83395b17bd3" ns2:_="" ns3:_="">
    <xsd:import namespace="48a2b2ea-4ae5-49be-a8c4-5009d504025a"/>
    <xsd:import namespace="7fcf429e-959f-41cd-b9fc-3fe3721349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Location" minOccurs="0"/>
                <xsd:element ref="ns2:MediaLengthInSecond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a2b2ea-4ae5-49be-a8c4-5009d50402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1d8c620-dd11-4dfd-9ad9-24f526f4e9ea"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cf429e-959f-41cd-b9fc-3fe37213493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4f55aa1-a174-474e-8bff-960f494ed0fa}" ma:internalName="TaxCatchAll" ma:showField="CatchAllData" ma:web="7fcf429e-959f-41cd-b9fc-3fe3721349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81F36B-8C49-4A34-8033-560B108372C9}">
  <ds:schemaRefs>
    <ds:schemaRef ds:uri="http://schemas.microsoft.com/office/2006/metadata/properties"/>
    <ds:schemaRef ds:uri="http://schemas.microsoft.com/office/infopath/2007/PartnerControls"/>
    <ds:schemaRef ds:uri="48a2b2ea-4ae5-49be-a8c4-5009d504025a"/>
    <ds:schemaRef ds:uri="7fcf429e-959f-41cd-b9fc-3fe372134937"/>
  </ds:schemaRefs>
</ds:datastoreItem>
</file>

<file path=customXml/itemProps2.xml><?xml version="1.0" encoding="utf-8"?>
<ds:datastoreItem xmlns:ds="http://schemas.openxmlformats.org/officeDocument/2006/customXml" ds:itemID="{667681BC-BE13-4E21-8924-3641F34D5C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a2b2ea-4ae5-49be-a8c4-5009d504025a"/>
    <ds:schemaRef ds:uri="7fcf429e-959f-41cd-b9fc-3fe3721349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C35E7A-1AF8-4A96-AC97-C8D5826997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11897</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controlled-terminology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Markus Fiebig</dc:creator>
  <dc:description/>
  <cp:lastModifiedBy>Markus Fiebig</cp:lastModifiedBy>
  <cp:revision>1350</cp:revision>
  <dcterms:created xsi:type="dcterms:W3CDTF">2020-11-08T11:36:51Z</dcterms:created>
  <dcterms:modified xsi:type="dcterms:W3CDTF">2026-08-03T15:12:12Z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0x0101006481788B230DB442BDFB5C65881F7436</vt:lpwstr>
  </property>
  <property fmtid="{D5CDD505-2E9C-101B-9397-08002B2CF9AE}" pid="9" name="MediaServiceImageTags">
    <vt:lpwstr/>
  </property>
</Properties>
</file>